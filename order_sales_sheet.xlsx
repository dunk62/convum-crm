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12(FRI)" sheetId="1" r:id="rId4"/>
    <sheet state="visible" name="2025.12.11(THU)" sheetId="2" r:id="rId5"/>
    <sheet state="visible" name="2025.12.10(WED)" sheetId="3" r:id="rId6"/>
    <sheet state="visible" name="2025.12.9(TUE)" sheetId="4" r:id="rId7"/>
    <sheet state="visible" name="2025.12.8(MON)" sheetId="5" r:id="rId8"/>
    <sheet state="visible" name="2025.12.5(FRI)" sheetId="6" r:id="rId9"/>
    <sheet state="visible" name="2025.12.4(THU)" sheetId="7" r:id="rId10"/>
    <sheet state="visible" name="2025.12.3(WED)" sheetId="8" r:id="rId11"/>
    <sheet state="visible" name="2025.12.2(TUE)" sheetId="9" r:id="rId12"/>
    <sheet state="visible" name="2025.12.1(MON)" sheetId="10" r:id="rId13"/>
  </sheets>
  <definedNames/>
  <calcPr/>
</workbook>
</file>

<file path=xl/sharedStrings.xml><?xml version="1.0" encoding="utf-8"?>
<sst xmlns="http://schemas.openxmlformats.org/spreadsheetml/2006/main" count="3703" uniqueCount="692">
  <si>
    <t>基準日 : 2025/12/12</t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</si>
  <si>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</si>
  <si>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</si>
  <si>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</si>
  <si>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</si>
  <si>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</si>
  <si>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</si>
  <si>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</si>
  <si>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</si>
  <si>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</si>
  <si>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</si>
  <si>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</si>
  <si>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</si>
  <si>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2025/12/01 ~ 2025/12/05</t>
  </si>
  <si>
    <t>20251208 (月)</t>
  </si>
  <si>
    <t>20251209 (火)</t>
  </si>
  <si>
    <t>20251210 (水)</t>
  </si>
  <si>
    <t>20251211 (木)</t>
  </si>
  <si>
    <t>20251212 (金)</t>
  </si>
  <si>
    <t>12 月 合計</t>
  </si>
  <si>
    <t>受注報告</t>
  </si>
  <si>
    <t>内容</t>
  </si>
  <si>
    <r>
      <rPr>
        <rFont val="맑은 고딕"/>
        <b/>
        <color theme="1"/>
        <sz val="10.0"/>
      </rPr>
      <t>国内</t>
    </r>
  </si>
  <si>
    <t>日本本社</t>
  </si>
  <si>
    <t>MYOTOKU CHINA</t>
  </si>
  <si>
    <t>TOTAL</t>
  </si>
  <si>
    <t>RED CONVUM</t>
  </si>
  <si>
    <t>BLUE CONVUM</t>
  </si>
  <si>
    <t>OEM</t>
  </si>
  <si>
    <t>NO LOGO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</si>
  <si>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</si>
  <si>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売上報告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</si>
  <si>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</si>
  <si>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</si>
  <si>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</si>
  <si>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</si>
  <si>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t>2025/12出荷分</t>
  </si>
  <si>
    <t>2026/01出荷分</t>
  </si>
  <si>
    <t>未回答分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</si>
  <si>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</si>
  <si>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通常</t>
  </si>
  <si>
    <t>特値</t>
  </si>
  <si>
    <t xml:space="preserve"> </t>
  </si>
  <si>
    <t>受注明細</t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</si>
  <si>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</si>
  <si>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</si>
  <si>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</si>
  <si>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</si>
  <si>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</si>
  <si>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</si>
  <si>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</si>
  <si>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</si>
  <si>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製品名</t>
  </si>
  <si>
    <t>Q'TY</t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</si>
  <si>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</si>
  <si>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UNIT(KRW)</t>
  </si>
  <si>
    <t>AMOUNT(KRW)</t>
  </si>
  <si>
    <t>販賣店別合計(KRW)</t>
  </si>
  <si>
    <t>DAESUNG</t>
  </si>
  <si>
    <t>이오테크닉스(EO TECHNICS)</t>
  </si>
  <si>
    <t>LASER MARKING?備</t>
  </si>
  <si>
    <t>김광중</t>
  </si>
  <si>
    <t>stocks</t>
  </si>
  <si>
    <t>BLUE</t>
  </si>
  <si>
    <t>GBB020100</t>
  </si>
  <si>
    <t>BPJG-6-N</t>
  </si>
  <si>
    <t>KCC</t>
  </si>
  <si>
    <t>製造</t>
  </si>
  <si>
    <t>PB5010002</t>
  </si>
  <si>
    <t>BVFL-66</t>
  </si>
  <si>
    <t>overseas purchase</t>
  </si>
  <si>
    <t>RED</t>
  </si>
  <si>
    <t>401900073</t>
  </si>
  <si>
    <t>MPS-P35R-NCA#</t>
  </si>
  <si>
    <t>401900091</t>
  </si>
  <si>
    <t>MPS-V35R-NCA#</t>
  </si>
  <si>
    <t>401900055</t>
  </si>
  <si>
    <t>MPS-C35R-NCA#</t>
  </si>
  <si>
    <t>401900082</t>
  </si>
  <si>
    <t>MPS-P35R-PCA#</t>
  </si>
  <si>
    <t>402000031</t>
  </si>
  <si>
    <t>MPS-P60DL-R1</t>
  </si>
  <si>
    <t>M-TECH</t>
  </si>
  <si>
    <t>서브원(SERVE ONE)M-TECH</t>
  </si>
  <si>
    <t>MRO B2B</t>
  </si>
  <si>
    <t>윤회승</t>
  </si>
  <si>
    <t>GBB020055</t>
  </si>
  <si>
    <t>BPFG-3.5A-N</t>
  </si>
  <si>
    <t>PROTEC</t>
  </si>
  <si>
    <t>프로텍시스템 1(PROTEC SYSTEM1)</t>
  </si>
  <si>
    <t>GBB020060</t>
  </si>
  <si>
    <t>BPFG-3.5A-SE</t>
  </si>
  <si>
    <t>SUNGJUN</t>
  </si>
  <si>
    <t>테크윙(TECHWING)성준</t>
  </si>
  <si>
    <t>GBB020081</t>
  </si>
  <si>
    <t>BPFG-15A-SE-ESD</t>
  </si>
  <si>
    <t>TPC</t>
  </si>
  <si>
    <t>성훈메카트로닉스(SUNG HOON)</t>
  </si>
  <si>
    <t>流通</t>
  </si>
  <si>
    <t>USEONG</t>
  </si>
  <si>
    <t>로보스타(ROBO STAR)</t>
  </si>
  <si>
    <t>半導體 裝備</t>
  </si>
  <si>
    <t>GBB020126</t>
  </si>
  <si>
    <t>BPJG-15-SE-ESD</t>
  </si>
  <si>
    <t>일성종합상사(IL SUNG)</t>
  </si>
  <si>
    <t>탁현호</t>
  </si>
  <si>
    <t>national purchase</t>
  </si>
  <si>
    <t>GBB020096</t>
  </si>
  <si>
    <t>BPJG-4-SE</t>
  </si>
  <si>
    <t>*海外向けは本日受注ございません。</t>
  </si>
  <si>
    <t>受注明細(海外向け)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</si>
  <si>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</si>
  <si>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BLAND COLOR</t>
  </si>
  <si>
    <t>UNIT(JPY)</t>
  </si>
  <si>
    <t>AMOUNT(JPY)</t>
  </si>
  <si>
    <t>販賣店別合計(JPY)</t>
  </si>
  <si>
    <t>REMARK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</si>
  <si>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</si>
  <si>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BRAND COLOR</t>
  </si>
  <si>
    <t>UNIT(USD)</t>
  </si>
  <si>
    <t>AMOUNT(USD)</t>
  </si>
  <si>
    <t>販賣店別合計(USD)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</si>
  <si>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</si>
  <si>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t>賣上明細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</si>
  <si>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</si>
  <si>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AMOUNT
(KRW)</t>
  </si>
  <si>
    <t>基準日 : 2025/12/11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</si>
  <si>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</si>
  <si>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</si>
  <si>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</si>
  <si>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</si>
  <si>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</si>
  <si>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</si>
  <si>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</si>
  <si>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</si>
  <si>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DAEDONG</t>
  </si>
  <si>
    <t>정진넥스텍(JUNGJIN NEXTECH)</t>
  </si>
  <si>
    <t>GBB020094</t>
  </si>
  <si>
    <t>BPJG-4-U</t>
  </si>
  <si>
    <t>삼성전자(SAMSUNG)</t>
  </si>
  <si>
    <t>電子製品製造</t>
  </si>
  <si>
    <t>GBB020004</t>
  </si>
  <si>
    <t>BPAG-15B-SE-ESD</t>
  </si>
  <si>
    <t>300400018</t>
  </si>
  <si>
    <t>PCG-40-S</t>
  </si>
  <si>
    <t>GBB020092</t>
  </si>
  <si>
    <t>BPJG-4-S</t>
  </si>
  <si>
    <t>주식회사 피엠씨(PMC)</t>
  </si>
  <si>
    <t>임성렬</t>
  </si>
  <si>
    <t>GBA060506</t>
  </si>
  <si>
    <t>FP01-201-02-R8</t>
  </si>
  <si>
    <t>GBB020207</t>
  </si>
  <si>
    <t>BPJG-10-NE</t>
  </si>
  <si>
    <t>S-TECH</t>
  </si>
  <si>
    <t>조성자동화(JOSUNG AUTOMATION)</t>
  </si>
  <si>
    <t>産業用機械製造</t>
  </si>
  <si>
    <t>GBA050007</t>
  </si>
  <si>
    <t>BMSM-01</t>
  </si>
  <si>
    <t>GBA050008</t>
  </si>
  <si>
    <t>BMSS-01</t>
  </si>
  <si>
    <t>케이에스팩(KS PACK)</t>
  </si>
  <si>
    <t>500900003</t>
  </si>
  <si>
    <t>VF-3</t>
  </si>
  <si>
    <t>GBB020233</t>
  </si>
  <si>
    <t>BPFG-8A-SE-ESD-MF</t>
  </si>
  <si>
    <t>티피씨프라임(TPC PRIME)</t>
  </si>
  <si>
    <t>GBA060079</t>
  </si>
  <si>
    <t>F02-202-011-F10C</t>
  </si>
  <si>
    <t>저스트자동화(JUST FA)</t>
  </si>
  <si>
    <t>PB1020121</t>
  </si>
  <si>
    <t>BMC22S10HSVGL5BLR</t>
  </si>
  <si>
    <t>포시스부산(FOSYS)</t>
  </si>
  <si>
    <t>自動化設備設計及び製造</t>
  </si>
  <si>
    <t>100300016</t>
  </si>
  <si>
    <t>LV290-4E</t>
  </si>
  <si>
    <t>WOOSUNG PMT</t>
  </si>
  <si>
    <t>오에스티(OST)</t>
  </si>
  <si>
    <t>LCD, OLED 裝備 製造業</t>
  </si>
  <si>
    <t>300700112</t>
  </si>
  <si>
    <t>PFG-2A-SE</t>
  </si>
  <si>
    <t>300700113</t>
  </si>
  <si>
    <t>PFG-3.5A-SE</t>
  </si>
  <si>
    <t>YUHAN</t>
  </si>
  <si>
    <t>엠에스테크놀러지(MS TECH)</t>
  </si>
  <si>
    <t>PCB</t>
  </si>
  <si>
    <t>products</t>
  </si>
  <si>
    <t>PB3243515</t>
  </si>
  <si>
    <t>BNABPJYS-6-6-SE</t>
  </si>
  <si>
    <t>라온테크(RAON TECH)</t>
  </si>
  <si>
    <t>製造業</t>
  </si>
  <si>
    <t>301000350</t>
  </si>
  <si>
    <t>PJG-8-EC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</si>
  <si>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</si>
  <si>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</si>
  <si>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.</t>
  </si>
  <si>
    <t>FOB</t>
  </si>
  <si>
    <t>518000037</t>
  </si>
  <si>
    <t>V200-4EZ</t>
  </si>
  <si>
    <t>10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</si>
  <si>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</si>
  <si>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</si>
  <si>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GRAV</t>
  </si>
  <si>
    <t>제일기계(JAEIL MACHINEY)그랩</t>
  </si>
  <si>
    <t>PB1070861</t>
  </si>
  <si>
    <t>BMC72S25HS22C5BLR</t>
  </si>
  <si>
    <t>PB1070865</t>
  </si>
  <si>
    <t>BMC72M15HS22C5BLR2</t>
  </si>
  <si>
    <t>PROSIS</t>
  </si>
  <si>
    <t>삼성전기(주)SAMSUNG ELECTRO-MECHANICS CO.,LTD.</t>
  </si>
  <si>
    <t>GBB020259</t>
  </si>
  <si>
    <t>BPFX-0011-PJG</t>
  </si>
  <si>
    <t>제이에스(JS)</t>
  </si>
  <si>
    <t>PC3210007</t>
  </si>
  <si>
    <t>NAPFTS-10A-15-K-B</t>
  </si>
  <si>
    <t>팸텍(PAMTEK)TPC</t>
  </si>
  <si>
    <t>PC1020016</t>
  </si>
  <si>
    <t>BMC22S10HRVGL5BLR-L1</t>
  </si>
  <si>
    <t>基準日 : 2025/12/10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</si>
  <si>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</si>
  <si>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</si>
  <si>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</si>
  <si>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</si>
  <si>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</si>
  <si>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</si>
  <si>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</si>
  <si>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</si>
  <si>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300400011</t>
  </si>
  <si>
    <t>PCG-5-S</t>
  </si>
  <si>
    <t>PB1020398</t>
  </si>
  <si>
    <t>BMC22S10HSZL5BLR</t>
  </si>
  <si>
    <t>아이원텍(IONETEC)</t>
  </si>
  <si>
    <t>300700037</t>
  </si>
  <si>
    <t>PFG-40-S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</si>
  <si>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</si>
  <si>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</si>
  <si>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</si>
  <si>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</si>
  <si>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고산테크(GOSAN TECH)</t>
  </si>
  <si>
    <t>200100017</t>
  </si>
  <si>
    <t>CV-10HSTS6</t>
  </si>
  <si>
    <t>골든플랫폼(GOLDEN FLATFORM)</t>
  </si>
  <si>
    <t>300400014</t>
  </si>
  <si>
    <t>PCG-15-S</t>
  </si>
  <si>
    <t>300400010</t>
  </si>
  <si>
    <t>PCG-90-N</t>
  </si>
  <si>
    <t>HANWHA SOLUTION JINCHEN</t>
  </si>
  <si>
    <t>한화큐셀 진천(HANWHA Q CELLS JINCHEON)</t>
  </si>
  <si>
    <t>PB3210024</t>
  </si>
  <si>
    <t>BNAPFTS-80-50-S</t>
  </si>
  <si>
    <t>KD TECH</t>
  </si>
  <si>
    <t>누리시스(NYURISYS)</t>
  </si>
  <si>
    <t>PCB CUTTER裝備製造</t>
  </si>
  <si>
    <t>301000106</t>
  </si>
  <si>
    <t>PJG-10-F-RA</t>
  </si>
  <si>
    <t>301000129</t>
  </si>
  <si>
    <t>PJG-15-F-RA</t>
  </si>
  <si>
    <t>301000133</t>
  </si>
  <si>
    <t>PJG-40-F-RA</t>
  </si>
  <si>
    <t>GBA060515</t>
  </si>
  <si>
    <t>FP01-500-02-R6</t>
  </si>
  <si>
    <t>202700189</t>
  </si>
  <si>
    <t>MC72S20HSVGD4BLR</t>
  </si>
  <si>
    <t>300400001</t>
  </si>
  <si>
    <t>PCG-5-N</t>
  </si>
  <si>
    <t>518000004</t>
  </si>
  <si>
    <t>VF-6E</t>
  </si>
  <si>
    <t>301700009</t>
  </si>
  <si>
    <t>PUG-60-N</t>
  </si>
  <si>
    <t>200100014</t>
  </si>
  <si>
    <t>CV-30AHS</t>
  </si>
  <si>
    <t>100400027</t>
  </si>
  <si>
    <t>CKV220-4P-01</t>
  </si>
  <si>
    <t>GBB020114</t>
  </si>
  <si>
    <t>BPJG-8-SE</t>
  </si>
  <si>
    <t>세광테크(SEKWANG TECH)</t>
  </si>
  <si>
    <t>418000041</t>
  </si>
  <si>
    <t>MPS-ACCH9</t>
  </si>
  <si>
    <t>GBB020210</t>
  </si>
  <si>
    <t>BPJG-10-SE</t>
  </si>
  <si>
    <t>NTS</t>
  </si>
  <si>
    <t>앤티에스(NTS)</t>
  </si>
  <si>
    <t>200100012</t>
  </si>
  <si>
    <t>CV-25HS</t>
  </si>
  <si>
    <t>314400003</t>
  </si>
  <si>
    <t>PS-6-J-M-N</t>
  </si>
  <si>
    <t>300700023</t>
  </si>
  <si>
    <t>PFG-1.5A-S</t>
  </si>
  <si>
    <t>P&amp;M INCORPORATED</t>
  </si>
  <si>
    <t>이오테크닉스(EO TECHNICS)피앤엠</t>
  </si>
  <si>
    <t>418000072</t>
  </si>
  <si>
    <t>MPS-ACCK16</t>
  </si>
  <si>
    <t>PARKER KOREA</t>
  </si>
  <si>
    <t>301000031</t>
  </si>
  <si>
    <t>PJG-20-U</t>
  </si>
  <si>
    <t>301000053</t>
  </si>
  <si>
    <t>PJG-6-NE</t>
  </si>
  <si>
    <t>신신테크(SHINSHIN)</t>
  </si>
  <si>
    <t>토담(TODAM)</t>
  </si>
  <si>
    <t>302800002</t>
  </si>
  <si>
    <t>PYKG-20-S5</t>
  </si>
  <si>
    <t>302800009</t>
  </si>
  <si>
    <t>PYKG-30-S5</t>
  </si>
  <si>
    <t>월드이엔지(WORLD ENG.)</t>
  </si>
  <si>
    <t>自動車部品製造</t>
  </si>
  <si>
    <t>100500138</t>
  </si>
  <si>
    <t>CSV220-4D</t>
  </si>
  <si>
    <t>주성(JOO SUNG)</t>
  </si>
  <si>
    <t>GBB020110</t>
  </si>
  <si>
    <t>BPJG-8-S</t>
  </si>
  <si>
    <t>풍산시스템(POONGSAN SYSTEM)에스텍</t>
  </si>
  <si>
    <t>裝備 製造</t>
  </si>
  <si>
    <t>GCB030044</t>
  </si>
  <si>
    <t>TN-PS-10-M5-SUS-L</t>
  </si>
  <si>
    <t>GBB020028</t>
  </si>
  <si>
    <t>BPAG-20A-N</t>
  </si>
  <si>
    <t>디에스솔루션(DS SOLUTION)</t>
  </si>
  <si>
    <t>GSA060013</t>
  </si>
  <si>
    <t>PA-C</t>
  </si>
  <si>
    <t>GBB020003</t>
  </si>
  <si>
    <t>BPFG-10A-SE-ESD</t>
  </si>
  <si>
    <t>318100024</t>
  </si>
  <si>
    <t>TN-PS-10-M5</t>
  </si>
  <si>
    <t>서브원(SERVE ONE)USEONG</t>
  </si>
  <si>
    <t>에스이테크놀로지(SE TECHNOLOGY)</t>
  </si>
  <si>
    <t>GBB020192</t>
  </si>
  <si>
    <t>BPFG-2A-SE</t>
  </si>
  <si>
    <t>유니온비엔씨(UNION B&amp;C Co., Ltd)</t>
  </si>
  <si>
    <t>202700307</t>
  </si>
  <si>
    <t>MC72S20LSZZD4BLR</t>
  </si>
  <si>
    <t>대한유공압(DAEHAN)</t>
  </si>
  <si>
    <t>300700034</t>
  </si>
  <si>
    <t>PFG-25-S</t>
  </si>
  <si>
    <t>오메가자동화(OMEGA)</t>
  </si>
  <si>
    <t>FA設備</t>
  </si>
  <si>
    <t>402200097</t>
  </si>
  <si>
    <t>MPS-C37R-NCA#</t>
  </si>
  <si>
    <t>우성산업(WOOSUNG)</t>
  </si>
  <si>
    <t>300700187</t>
  </si>
  <si>
    <t>PFG-6-N</t>
  </si>
  <si>
    <t>시스템알앤디(SYSTEM R&amp;D)</t>
  </si>
  <si>
    <t>Display關連裝備製造</t>
  </si>
  <si>
    <t>300100007</t>
  </si>
  <si>
    <t>PAG-25-N</t>
  </si>
  <si>
    <t>제이닉스(j-nix)</t>
  </si>
  <si>
    <t>202700112</t>
  </si>
  <si>
    <t>MC72S20LSZZZ4BLR</t>
  </si>
  <si>
    <t>GBB020119</t>
  </si>
  <si>
    <t>BPJG-15-S</t>
  </si>
  <si>
    <t>GBB020209</t>
  </si>
  <si>
    <t>BPJG-10-S</t>
  </si>
  <si>
    <t>GBB020109</t>
  </si>
  <si>
    <t>BPJG-8-N</t>
  </si>
  <si>
    <t>GBB020179</t>
  </si>
  <si>
    <t>BPCG-7-N</t>
  </si>
  <si>
    <t>基準日 : 2025/12/09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</si>
  <si>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</si>
  <si>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</si>
  <si>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</si>
  <si>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</si>
  <si>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</si>
  <si>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</si>
  <si>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</si>
  <si>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</si>
  <si>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500100007</t>
  </si>
  <si>
    <t>MKY-W-10X5</t>
  </si>
  <si>
    <t>제이티(JT)피앤엠</t>
  </si>
  <si>
    <t>GCA020003</t>
  </si>
  <si>
    <t>BPDG-6-EP-ID3</t>
  </si>
  <si>
    <t>한양로보틱스(HANYANG ROBOTICS)</t>
  </si>
  <si>
    <t>射出ROBOT製造</t>
  </si>
  <si>
    <t>GSA040050</t>
  </si>
  <si>
    <t>MAW401-04BG</t>
  </si>
  <si>
    <t>야코(YACO)</t>
  </si>
  <si>
    <t>GBB020093</t>
  </si>
  <si>
    <t>BPJG-4-F</t>
  </si>
  <si>
    <t>엔에이티(NAT)</t>
  </si>
  <si>
    <t>300700027</t>
  </si>
  <si>
    <t>PFG-6A-S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</si>
  <si>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</si>
  <si>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</si>
  <si>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</si>
  <si>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</si>
  <si>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2025/12/08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</si>
  <si>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</si>
  <si>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</si>
  <si>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</si>
  <si>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</si>
  <si>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</si>
  <si>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</si>
  <si>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</si>
  <si>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</si>
  <si>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518000005</t>
  </si>
  <si>
    <t>VFL-44E</t>
  </si>
  <si>
    <t>301000148</t>
  </si>
  <si>
    <t>PJG-4-N</t>
  </si>
  <si>
    <t>300700179</t>
  </si>
  <si>
    <t>PFG-3.5X7A-NE</t>
  </si>
  <si>
    <t>204101641</t>
  </si>
  <si>
    <t>SC3S15SV9PDFSWT</t>
  </si>
  <si>
    <t>에이피텍(AP TECH)</t>
  </si>
  <si>
    <t>GBA060485</t>
  </si>
  <si>
    <t>P48E-010-F1</t>
  </si>
  <si>
    <t>GBB020269</t>
  </si>
  <si>
    <t>BPFX-0008-PJG</t>
  </si>
  <si>
    <t>에스에스오트론(SS OTRON)</t>
  </si>
  <si>
    <t>半導?製造?備</t>
  </si>
  <si>
    <t>300100175</t>
  </si>
  <si>
    <t>PAG-5B-S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</si>
  <si>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</si>
  <si>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</si>
  <si>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</si>
  <si>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</si>
  <si>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위드텍(WITH TECH)</t>
  </si>
  <si>
    <t>半導體 DISPLAY 物性測定</t>
  </si>
  <si>
    <t>418000060</t>
  </si>
  <si>
    <t>MPS-ACCH10</t>
  </si>
  <si>
    <t>케이에스티(KST)</t>
  </si>
  <si>
    <t>유니온자동기기(UNION)</t>
  </si>
  <si>
    <t>402100131</t>
  </si>
  <si>
    <t>MPS-H51ER-NCA</t>
  </si>
  <si>
    <t>PB3270027</t>
  </si>
  <si>
    <t>BNAPUTSB-60-50-K</t>
  </si>
  <si>
    <t>402200085</t>
  </si>
  <si>
    <t>MPS-P37R-NCA#</t>
  </si>
  <si>
    <t>이노시엠(INNOSYM)</t>
  </si>
  <si>
    <t>PB1010006</t>
  </si>
  <si>
    <t>BCV-20HS</t>
  </si>
  <si>
    <t>한영테크(HANYOUNG TECH)</t>
  </si>
  <si>
    <t>418000061</t>
  </si>
  <si>
    <t>CN-0048-01</t>
  </si>
  <si>
    <t>코아테크시스템(CORETECH SYSTEM)</t>
  </si>
  <si>
    <t>LCD自動化設備製造</t>
  </si>
  <si>
    <t>GBA060081</t>
  </si>
  <si>
    <t>F02-202-02-F10C</t>
  </si>
  <si>
    <t>고려에프에이(KORYO FA)</t>
  </si>
  <si>
    <t>GBA060087</t>
  </si>
  <si>
    <t>F02-202-04-F10C</t>
  </si>
  <si>
    <t>GBA060059</t>
  </si>
  <si>
    <t>F02-501-030-F7C</t>
  </si>
  <si>
    <t>티아이에스(TIS)</t>
  </si>
  <si>
    <t>PB1020452</t>
  </si>
  <si>
    <t>BMC22M07LSVGL5BLR312L</t>
  </si>
  <si>
    <t>엠앤비(M&amp;B)</t>
  </si>
  <si>
    <t>GBA060011</t>
  </si>
  <si>
    <t>FP02-102-02-F7C</t>
  </si>
  <si>
    <t>제이와이시스템(JY SYSTEM)</t>
  </si>
  <si>
    <t>주성에프에이(Jusung FA)</t>
  </si>
  <si>
    <t>301400218</t>
  </si>
  <si>
    <t>PNG-132-S</t>
  </si>
  <si>
    <t>티에스엔(TSN)</t>
  </si>
  <si>
    <t>418000080</t>
  </si>
  <si>
    <t>MFPS01-G</t>
  </si>
  <si>
    <t>맥스웨이(MAXWAY)</t>
  </si>
  <si>
    <t>GBA060077</t>
  </si>
  <si>
    <t>F02-202-010-F10C</t>
  </si>
  <si>
    <t>GBA060009</t>
  </si>
  <si>
    <t>BT-28</t>
  </si>
  <si>
    <t>우성테크노(WUSUNG TECHNO)</t>
  </si>
  <si>
    <t>GBB020197</t>
  </si>
  <si>
    <t>BPFG-5A-N</t>
  </si>
  <si>
    <t>아테코(ATECO)</t>
  </si>
  <si>
    <t>半導?製造</t>
  </si>
  <si>
    <t>GBA060483</t>
  </si>
  <si>
    <t>KT-77D-5M</t>
  </si>
  <si>
    <t>314600016</t>
  </si>
  <si>
    <t>PSS-L5-PAG-10A-S</t>
  </si>
  <si>
    <t>밥스(BOBS)</t>
  </si>
  <si>
    <t>300400266</t>
  </si>
  <si>
    <t>PCG-5-EC</t>
  </si>
  <si>
    <t>한영콘트롤상사(HANYOUNG CONTROL)</t>
  </si>
  <si>
    <t>301000147</t>
  </si>
  <si>
    <t>PJG-4-S</t>
  </si>
  <si>
    <t>301800018</t>
  </si>
  <si>
    <t>PWG-5X20-S</t>
  </si>
  <si>
    <t>포스원(FORCE ONE)</t>
  </si>
  <si>
    <t>300700176</t>
  </si>
  <si>
    <t>PFG-3.5X7A-S</t>
  </si>
  <si>
    <t>GBB020099</t>
  </si>
  <si>
    <t>BPJG-4-SE-ESD</t>
  </si>
  <si>
    <t>테크윙(TECHWING)유한</t>
  </si>
  <si>
    <t>401000074</t>
  </si>
  <si>
    <t>MPS-0297-MPS9A#(MPS-V9AC-NCA#)</t>
  </si>
  <si>
    <t>RA53000795</t>
  </si>
  <si>
    <t>SC1-001-3009 SENSOR BEACKET</t>
  </si>
  <si>
    <t>基準日 : 2025/12/05</t>
  </si>
  <si>
    <t>20251201 (月)</t>
  </si>
  <si>
    <t>20251202 (火)</t>
  </si>
  <si>
    <t>20251203 (水)</t>
  </si>
  <si>
    <t>20251204 (木)</t>
  </si>
  <si>
    <t>20251205 (金)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</si>
  <si>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</si>
  <si>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</si>
  <si>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</si>
  <si>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</si>
  <si>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</si>
  <si>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</si>
  <si>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</si>
  <si>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</si>
  <si>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</si>
  <si>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</si>
  <si>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</si>
  <si>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</si>
  <si>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</si>
  <si>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</si>
  <si>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</si>
  <si>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</si>
  <si>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300100797</t>
  </si>
  <si>
    <t>PAG-5B-SESD</t>
  </si>
  <si>
    <t>서브원(SERVE ONE)TPC</t>
  </si>
  <si>
    <t>518000003</t>
  </si>
  <si>
    <t>VF-5E</t>
  </si>
  <si>
    <t>제이솔루션(J SOLUTION)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</si>
  <si>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</si>
  <si>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</si>
  <si>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</si>
  <si>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</si>
  <si>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2025/12/04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</si>
  <si>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</si>
  <si>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</si>
  <si>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</si>
  <si>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</si>
  <si>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</si>
  <si>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</si>
  <si>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</si>
  <si>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</si>
  <si>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200100041</t>
  </si>
  <si>
    <t>CV-20HSCK</t>
  </si>
  <si>
    <t>GBB020211</t>
  </si>
  <si>
    <t>BPJG-10-SE-ESD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</si>
  <si>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</si>
  <si>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</si>
  <si>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</si>
  <si>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</si>
  <si>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GBB020021</t>
  </si>
  <si>
    <t>BPAG-10B-F</t>
  </si>
  <si>
    <t>GBB020220</t>
  </si>
  <si>
    <t>BPCG-10-S</t>
  </si>
  <si>
    <t>SM TECH KOREA</t>
  </si>
  <si>
    <t>S&amp;C</t>
  </si>
  <si>
    <t>에이이엠 코리아(AEM)</t>
  </si>
  <si>
    <t>PC1130011</t>
  </si>
  <si>
    <t>PV101-NO-4EZ-M08-T-V9AC-F</t>
  </si>
  <si>
    <t>GBB020145</t>
  </si>
  <si>
    <t>BPFG-10A-S</t>
  </si>
  <si>
    <t>PC1010002</t>
  </si>
  <si>
    <t>MCV-15HS-L6</t>
  </si>
  <si>
    <t>PB3320048</t>
  </si>
  <si>
    <t>BPS-6A-BF-M-SE</t>
  </si>
  <si>
    <t>GBB020078</t>
  </si>
  <si>
    <t>BPFG-15A-SE</t>
  </si>
  <si>
    <t>제이앤에치(J&amp;H)</t>
  </si>
  <si>
    <t>P401600002</t>
  </si>
  <si>
    <t>MPS-R34R-NGA</t>
  </si>
  <si>
    <t>GBB020002</t>
  </si>
  <si>
    <t>BPFG-6A-SE-ESD</t>
  </si>
  <si>
    <t>基準日 : 2025/12/03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</si>
  <si>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</si>
  <si>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</si>
  <si>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</si>
  <si>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</si>
  <si>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</si>
  <si>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</si>
  <si>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</si>
  <si>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</si>
  <si>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PC3210020</t>
  </si>
  <si>
    <t>NAPFYH-5A-10-K-MS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</si>
  <si>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</si>
  <si>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</si>
  <si>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</si>
  <si>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</si>
  <si>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CHUNGHAE</t>
  </si>
  <si>
    <t>신진엠텍(SHINJIN MTEC)충해전기</t>
  </si>
  <si>
    <t>PB3350001</t>
  </si>
  <si>
    <t>BTN-PC-10-M5</t>
  </si>
  <si>
    <t>제일모터컴퍼니(JEILMOTOR CO,. LTD)</t>
  </si>
  <si>
    <t>PB3180001</t>
  </si>
  <si>
    <t>BNAPATS-25-15-K</t>
  </si>
  <si>
    <t>에이시디(ACD)</t>
  </si>
  <si>
    <t>GBB020118</t>
  </si>
  <si>
    <t>BPJG-15-N</t>
  </si>
  <si>
    <t>태성이엔지(TAESUNG E.N.G)</t>
  </si>
  <si>
    <t>GBB030038</t>
  </si>
  <si>
    <t>BTN-PS-10-M5</t>
  </si>
  <si>
    <t>GBB030040</t>
  </si>
  <si>
    <t>BTN-PF-15-M5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</si>
  <si>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</si>
  <si>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</si>
  <si>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</si>
  <si>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</si>
  <si>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</si>
  <si>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</si>
  <si>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</si>
  <si>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GBB020182</t>
  </si>
  <si>
    <t>BPCG-7-S</t>
  </si>
  <si>
    <t>파워오토메이션(POWER AUTOMATION)</t>
  </si>
  <si>
    <t>PB1020425</t>
  </si>
  <si>
    <t>BMC22M10HSVGL5BLR303</t>
  </si>
  <si>
    <t>춘일전기(CHUNIL)</t>
  </si>
  <si>
    <t>PB1020366</t>
  </si>
  <si>
    <t>BMC22S07HSABSL5BLR</t>
  </si>
  <si>
    <t>PT1020012</t>
  </si>
  <si>
    <t>EB2S10HRZL4WSLR</t>
  </si>
  <si>
    <t>핸드(HAND)</t>
  </si>
  <si>
    <t>402200073</t>
  </si>
  <si>
    <t>MPS-V37R-NCA#</t>
  </si>
  <si>
    <t>청우뉴메틱(CHUNGWOO)</t>
  </si>
  <si>
    <t>GBB020010</t>
  </si>
  <si>
    <t>BPAG-10A-N</t>
  </si>
  <si>
    <t>GBB020132</t>
  </si>
  <si>
    <t>BPJG-20-SE</t>
  </si>
  <si>
    <t>GBB020117</t>
  </si>
  <si>
    <t>BPJG-8-SE-ESD</t>
  </si>
  <si>
    <t>GBB020017</t>
  </si>
  <si>
    <t>BPAG-10A-NE-ESD</t>
  </si>
  <si>
    <t>GBB020129</t>
  </si>
  <si>
    <t>BPJG-20-F</t>
  </si>
  <si>
    <t>基準日 : 2025/12/02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</si>
  <si>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</si>
  <si>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</si>
  <si>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</si>
  <si>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</si>
  <si>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</si>
  <si>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</si>
  <si>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</si>
  <si>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</si>
  <si>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에스에프에이 천안(SFA)</t>
  </si>
  <si>
    <t>403100039</t>
  </si>
  <si>
    <t>MFPS01-201-NR8#</t>
  </si>
  <si>
    <t>세종파마텍(SEJONG PHARMATECH)</t>
  </si>
  <si>
    <t>418000070</t>
  </si>
  <si>
    <t>BT-1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</si>
  <si>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</si>
  <si>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</si>
  <si>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</si>
  <si>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</si>
  <si>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</si>
  <si>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</si>
  <si>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</si>
  <si>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</si>
  <si>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</si>
  <si>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</si>
  <si>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</si>
  <si>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</si>
  <si>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</si>
  <si>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GBB020253</t>
  </si>
  <si>
    <t>BPCG-15-S</t>
  </si>
  <si>
    <t>GBB020236</t>
  </si>
  <si>
    <t>BPJG-8-SE-ESD-MF</t>
  </si>
  <si>
    <t>202500004</t>
  </si>
  <si>
    <t>CVA2-10HR4AL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</si>
  <si>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</si>
  <si>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CONVUM LTD</t>
  </si>
  <si>
    <t>100300015</t>
  </si>
  <si>
    <t>UV280-4EZ</t>
  </si>
  <si>
    <t>112800006</t>
  </si>
  <si>
    <t>CA2-V4-6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</si>
  <si>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</si>
  <si>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</si>
  <si>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</si>
  <si>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지아이베큠(GI Vaccum)</t>
  </si>
  <si>
    <t>GBB020188</t>
  </si>
  <si>
    <t>BPFG-2A-N</t>
  </si>
  <si>
    <t>동주에이피(DONGJU AP)</t>
  </si>
  <si>
    <t>素材, 材料,電磁幷</t>
  </si>
  <si>
    <t>GBB020105</t>
  </si>
  <si>
    <t>BPJG-6-SE</t>
  </si>
  <si>
    <t>402200091</t>
  </si>
  <si>
    <t>MPS-P37R-PCA#</t>
  </si>
  <si>
    <t>GBB020072</t>
  </si>
  <si>
    <t>BPFG-8A-SE-ESD</t>
  </si>
  <si>
    <t>대진기계(DAEJIN MACHINERY) 엠텍</t>
  </si>
  <si>
    <t>LCD?備製造</t>
  </si>
  <si>
    <t>GBB030042</t>
  </si>
  <si>
    <t>BTN-PF-20-M5</t>
  </si>
  <si>
    <t>GBB020038</t>
  </si>
  <si>
    <t>BPAG-30B-S</t>
  </si>
  <si>
    <t>엔티에스(NTS)</t>
  </si>
  <si>
    <t>半導?LED</t>
  </si>
  <si>
    <t>GBB020104</t>
  </si>
  <si>
    <t>BPJG-6-NE</t>
  </si>
  <si>
    <t>미래산업(MIRAE)</t>
  </si>
  <si>
    <t>GBB020063</t>
  </si>
  <si>
    <t>BPFG-3.5A-SE-ESD</t>
  </si>
  <si>
    <t>태동산업(TAEDONG)성준</t>
  </si>
  <si>
    <t>PB1020245</t>
  </si>
  <si>
    <t>BMC22S07HSVGL5BLR</t>
  </si>
  <si>
    <t>318100015</t>
  </si>
  <si>
    <t>TN-PF-25-M6</t>
  </si>
  <si>
    <t>GBB020108</t>
  </si>
  <si>
    <t>BPJG-6-SE-ESD</t>
  </si>
  <si>
    <t>GBB020111</t>
  </si>
  <si>
    <t>BPJG-8-F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</si>
</sst>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_);[Red]\(#,##0\)"/>
    <numFmt numFmtId="165" formatCode="_-* #,##0_-;\-* #,##0_-;_-* &quot;-&quot;_-;_-@"/>
    <numFmt numFmtId="166" formatCode="0_);[Red]\(0\)"/>
    <numFmt numFmtId="167" formatCode="_-* #,##0.000_-;\-* #,##0.000_-;_-* &quot;-&quot;_-;_-@"/>
    <numFmt numFmtId="168" formatCode="_-* #,##0.00_-;\-* #,##0.00_-;_-* &quot;-&quot;_-;_-@"/>
    <numFmt numFmtId="169" formatCode="_ * #,##0_ ;_ * \-#,##0_ ;_ * &quot;-&quot;_ ;_ @_ "/>
    <numFmt numFmtId="170" formatCode="0.00_);[Red]\(0.00\)"/>
    <numFmt numFmtId="171" formatCode="_ * #,##0.00_ ;_ * \-#,##0.00_ ;_ * &quot;-&quot;_ ;_ @_ "/>
  </numFmts>
  <fonts count="21">
    <font>
      <sz val="10.0"/>
      <color theme="1"/>
      <name val="Calibri"/>
      <scheme val="minor"/>
    </font>
    <font>
      <b/>
      <sz val="11.0"/>
      <color theme="1"/>
      <name val="Malgun Gothic"/>
    </font>
    <font/>
    <font>
      <b/>
      <sz val="11.0"/>
      <color theme="0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Malgun Gothic"/>
    </font>
    <font>
      <b/>
      <sz val="13.0"/>
      <color theme="1"/>
      <name val="Arial"/>
    </font>
    <font>
      <b/>
      <u/>
      <sz val="10.0"/>
      <color theme="1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b/>
      <u/>
      <sz val="10.0"/>
      <color theme="1"/>
      <name val="Malgun Gothic"/>
    </font>
    <font>
      <sz val="9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sz val="8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AFBAD7"/>
        <bgColor rgb="FFAFBAD7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1" vertical="center" wrapText="0"/>
    </xf>
    <xf borderId="0" fillId="0" fontId="1" numFmtId="9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shrinkToFit="1" vertical="center" wrapText="0"/>
    </xf>
    <xf borderId="0" fillId="0" fontId="5" numFmtId="166" xfId="0" applyAlignment="1" applyFont="1" applyNumberFormat="1">
      <alignment vertical="center"/>
    </xf>
    <xf borderId="0" fillId="0" fontId="5" numFmtId="9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7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1" vertical="center" wrapText="0"/>
    </xf>
    <xf borderId="0" fillId="0" fontId="7" numFmtId="166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49" xfId="0" applyAlignment="1" applyBorder="1" applyFont="1" applyNumberFormat="1">
      <alignment horizontal="left"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shrinkToFit="1" vertical="center" wrapText="0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166" xfId="0" applyAlignment="1" applyFont="1" applyNumberFormat="1">
      <alignment horizontal="center" vertical="center"/>
    </xf>
    <xf borderId="1" fillId="2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vertical="center"/>
    </xf>
    <xf borderId="5" fillId="3" fontId="7" numFmtId="9" xfId="0" applyAlignment="1" applyBorder="1" applyFont="1" applyNumberFormat="1">
      <alignment vertical="center"/>
    </xf>
    <xf borderId="5" fillId="3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vertical="center"/>
    </xf>
    <xf borderId="5" fillId="3" fontId="8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shrinkToFit="0" vertical="center" wrapText="1"/>
    </xf>
    <xf borderId="5" fillId="3" fontId="10" numFmtId="0" xfId="0" applyAlignment="1" applyBorder="1" applyFont="1">
      <alignment horizontal="left" vertical="center"/>
    </xf>
    <xf borderId="0" fillId="0" fontId="7" numFmtId="3" xfId="0" applyAlignment="1" applyFont="1" applyNumberFormat="1">
      <alignment vertical="center"/>
    </xf>
    <xf borderId="5" fillId="3" fontId="7" numFmtId="3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center" shrinkToFit="1" vertical="center" wrapText="0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1" vertical="center" wrapText="0"/>
    </xf>
    <xf borderId="5" fillId="3" fontId="7" numFmtId="165" xfId="0" applyAlignment="1" applyBorder="1" applyFont="1" applyNumberFormat="1">
      <alignment horizontal="center" shrinkToFit="1" vertical="center" wrapText="0"/>
    </xf>
    <xf borderId="5" fillId="3" fontId="8" numFmtId="165" xfId="0" applyAlignment="1" applyBorder="1" applyFont="1" applyNumberFormat="1">
      <alignment vertical="center"/>
    </xf>
    <xf borderId="4" fillId="3" fontId="7" numFmtId="17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5" fillId="3" fontId="8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4" fillId="2" fontId="5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5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shrinkToFit="1" vertical="center" wrapText="0"/>
    </xf>
    <xf borderId="5" fillId="3" fontId="7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5" fillId="3" fontId="11" numFmtId="165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8" numFmtId="9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5" fillId="3" fontId="8" numFmtId="167" xfId="0" applyAlignment="1" applyBorder="1" applyFont="1" applyNumberFormat="1">
      <alignment vertical="center"/>
    </xf>
    <xf borderId="5" fillId="3" fontId="8" numFmtId="168" xfId="0" applyAlignment="1" applyBorder="1" applyFont="1" applyNumberFormat="1">
      <alignment horizontal="left" vertical="center"/>
    </xf>
    <xf borderId="10" fillId="3" fontId="13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1" vertical="center" wrapText="0"/>
    </xf>
    <xf borderId="14" fillId="2" fontId="5" numFmtId="9" xfId="0" applyAlignment="1" applyBorder="1" applyFont="1" applyNumberFormat="1">
      <alignment horizontal="center" vertical="center"/>
    </xf>
    <xf borderId="15" fillId="2" fontId="5" numFmtId="9" xfId="0" applyAlignment="1" applyBorder="1" applyFont="1" applyNumberFormat="1">
      <alignment horizontal="center" vertical="center"/>
    </xf>
    <xf borderId="13" fillId="2" fontId="5" numFmtId="165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4" fillId="3" fontId="7" numFmtId="9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right" shrinkToFit="0" vertical="center" wrapText="1"/>
    </xf>
    <xf borderId="3" fillId="0" fontId="14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left" vertical="center"/>
    </xf>
    <xf borderId="4" fillId="2" fontId="5" numFmtId="165" xfId="0" applyAlignment="1" applyBorder="1" applyFont="1" applyNumberFormat="1">
      <alignment horizontal="right" vertical="center"/>
    </xf>
    <xf borderId="5" fillId="3" fontId="5" numFmtId="0" xfId="0" applyAlignment="1" applyBorder="1" applyFont="1">
      <alignment horizontal="left" vertical="center"/>
    </xf>
    <xf borderId="20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shrinkToFit="1" vertical="center" wrapText="0"/>
    </xf>
    <xf borderId="20" fillId="3" fontId="7" numFmtId="165" xfId="0" applyAlignment="1" applyBorder="1" applyFont="1" applyNumberFormat="1">
      <alignment horizontal="right" vertical="center"/>
    </xf>
    <xf borderId="20" fillId="3" fontId="7" numFmtId="165" xfId="0" applyAlignment="1" applyBorder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shrinkToFit="1" vertical="center" wrapText="0"/>
    </xf>
    <xf borderId="5" fillId="3" fontId="7" numFmtId="165" xfId="0" applyAlignment="1" applyBorder="1" applyFont="1" applyNumberFormat="1">
      <alignment horizontal="right" vertical="center"/>
    </xf>
    <xf borderId="5" fillId="3" fontId="15" numFmtId="0" xfId="0" applyAlignment="1" applyBorder="1" applyFont="1">
      <alignment vertical="center"/>
    </xf>
    <xf borderId="5" fillId="3" fontId="5" numFmtId="9" xfId="0" applyAlignment="1" applyBorder="1" applyFont="1" applyNumberFormat="1">
      <alignment horizontal="center" shrinkToFit="1" vertical="center" wrapText="0"/>
    </xf>
    <xf borderId="5" fillId="3" fontId="5" numFmtId="9" xfId="0" applyAlignment="1" applyBorder="1" applyFont="1" applyNumberFormat="1">
      <alignment horizontal="left" vertical="center"/>
    </xf>
    <xf borderId="5" fillId="3" fontId="5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shrinkToFit="1" vertical="center" wrapText="0"/>
    </xf>
    <xf borderId="5" fillId="3" fontId="8" numFmtId="0" xfId="0" applyAlignment="1" applyBorder="1" applyFont="1">
      <alignment horizontal="center" shrinkToFit="1" vertical="center" wrapText="0"/>
    </xf>
    <xf borderId="5" fillId="3" fontId="7" numFmtId="0" xfId="0" applyAlignment="1" applyBorder="1" applyFont="1">
      <alignment horizontal="center" shrinkToFit="1" vertical="center" wrapText="0"/>
    </xf>
    <xf borderId="6" fillId="0" fontId="7" numFmtId="49" xfId="0" applyAlignment="1" applyBorder="1" applyFont="1" applyNumberFormat="1">
      <alignment horizontal="left" shrinkToFit="0" vertical="center" wrapText="1"/>
    </xf>
    <xf borderId="4" fillId="0" fontId="7" numFmtId="165" xfId="0" applyAlignment="1" applyBorder="1" applyFont="1" applyNumberFormat="1">
      <alignment horizontal="right" shrinkToFit="0" vertical="center" wrapText="1"/>
    </xf>
    <xf borderId="6" fillId="0" fontId="7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horizontal="left" vertical="center"/>
    </xf>
    <xf borderId="4" fillId="2" fontId="5" numFmtId="169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horizontal="center" shrinkToFit="1" vertical="center" wrapText="0"/>
    </xf>
    <xf borderId="4" fillId="2" fontId="5" numFmtId="166" xfId="0" applyAlignment="1" applyBorder="1" applyFont="1" applyNumberFormat="1">
      <alignment horizontal="center" shrinkToFit="1" vertical="center" wrapText="0"/>
    </xf>
    <xf borderId="4" fillId="0" fontId="7" numFmtId="49" xfId="0" applyAlignment="1" applyBorder="1" applyFont="1" applyNumberFormat="1">
      <alignment horizontal="right" shrinkToFit="0" vertical="center" wrapText="1"/>
    </xf>
    <xf borderId="4" fillId="3" fontId="7" numFmtId="170" xfId="0" applyAlignment="1" applyBorder="1" applyFont="1" applyNumberFormat="1">
      <alignment horizontal="right" vertical="center"/>
    </xf>
    <xf borderId="3" fillId="0" fontId="7" numFmtId="4" xfId="0" applyAlignment="1" applyBorder="1" applyFont="1" applyNumberFormat="1">
      <alignment shrinkToFit="0" vertical="center" wrapText="1"/>
    </xf>
    <xf borderId="21" fillId="2" fontId="5" numFmtId="0" xfId="0" applyAlignment="1" applyBorder="1" applyFont="1">
      <alignment horizontal="left" vertical="center"/>
    </xf>
    <xf borderId="22" fillId="0" fontId="2" numFmtId="0" xfId="0" applyAlignment="1" applyBorder="1" applyFont="1">
      <alignment vertical="center"/>
    </xf>
    <xf borderId="4" fillId="2" fontId="5" numFmtId="171" xfId="0" applyAlignment="1" applyBorder="1" applyFont="1" applyNumberFormat="1">
      <alignment vertical="center"/>
    </xf>
    <xf borderId="4" fillId="2" fontId="5" numFmtId="171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left" vertical="center"/>
    </xf>
    <xf borderId="5" fillId="3" fontId="5" numFmtId="9" xfId="0" applyAlignment="1" applyBorder="1" applyFont="1" applyNumberFormat="1">
      <alignment horizontal="center" vertical="center"/>
    </xf>
    <xf borderId="5" fillId="3" fontId="16" numFmtId="9" xfId="0" applyAlignment="1" applyBorder="1" applyFont="1" applyNumberFormat="1">
      <alignment horizontal="center" vertical="center"/>
    </xf>
    <xf borderId="5" fillId="3" fontId="17" numFmtId="9" xfId="0" applyAlignment="1" applyBorder="1" applyFont="1" applyNumberFormat="1">
      <alignment horizontal="left" vertical="center"/>
    </xf>
    <xf borderId="5" fillId="3" fontId="18" numFmtId="9" xfId="0" applyAlignment="1" applyBorder="1" applyFont="1" applyNumberFormat="1">
      <alignment horizontal="center" shrinkToFit="1" vertical="center" wrapText="0"/>
    </xf>
    <xf borderId="5" fillId="3" fontId="19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shrinkToFit="0" vertical="center" wrapText="1"/>
    </xf>
    <xf borderId="17" fillId="3" fontId="7" numFmtId="166" xfId="0" applyAlignment="1" applyBorder="1" applyFont="1" applyNumberFormat="1">
      <alignment horizontal="center" vertical="center"/>
    </xf>
    <xf borderId="19" fillId="3" fontId="7" numFmtId="165" xfId="0" applyAlignment="1" applyBorder="1" applyFont="1" applyNumberFormat="1">
      <alignment horizontal="center" vertical="center"/>
    </xf>
    <xf borderId="3" fillId="0" fontId="20" numFmtId="49" xfId="0" applyAlignment="1" applyBorder="1" applyFont="1" applyNumberFormat="1">
      <alignment horizontal="left" shrinkToFit="0" vertical="center" wrapText="1"/>
    </xf>
    <xf borderId="7" fillId="0" fontId="7" numFmtId="49" xfId="0" applyAlignment="1" applyBorder="1" applyFont="1" applyNumberFormat="1">
      <alignment shrinkToFit="0" vertical="center" wrapText="1"/>
    </xf>
    <xf borderId="9" fillId="0" fontId="7" numFmtId="49" xfId="0" applyAlignment="1" applyBorder="1" applyFont="1" applyNumberFormat="1">
      <alignment shrinkToFit="0" vertical="center" wrapText="1"/>
    </xf>
    <xf borderId="7" fillId="0" fontId="7" numFmtId="3" xfId="0" applyAlignment="1" applyBorder="1" applyFont="1" applyNumberFormat="1">
      <alignment horizontal="right" shrinkToFit="0" vertical="center" wrapText="1"/>
    </xf>
    <xf borderId="4" fillId="0" fontId="14" numFmtId="49" xfId="0" applyAlignment="1" applyBorder="1" applyFont="1" applyNumberFormat="1">
      <alignment horizontal="left" shrinkToFit="0" vertical="center" wrapText="1"/>
    </xf>
    <xf borderId="4" fillId="0" fontId="20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  <xf borderId="19" fillId="2" fontId="5" numFmtId="0" xfId="0" applyAlignment="1" applyBorder="1" applyFont="1">
      <alignment vertical="center"/>
    </xf>
    <xf borderId="16" fillId="2" fontId="5" numFmtId="166" xfId="0" applyAlignment="1" applyBorder="1" applyFont="1" applyNumberFormat="1">
      <alignment vertical="center"/>
    </xf>
    <xf borderId="19" fillId="2" fontId="5" numFmtId="165" xfId="0" applyAlignment="1" applyBorder="1" applyFont="1" applyNumberFormat="1">
      <alignment vertical="center"/>
    </xf>
    <xf borderId="5" fillId="3" fontId="7" numFmtId="166" xfId="0" applyAlignment="1" applyBorder="1" applyFont="1" applyNumberFormat="1">
      <alignment shrinkToFit="1" vertical="center" wrapText="0"/>
    </xf>
    <xf borderId="23" fillId="0" fontId="7" numFmtId="49" xfId="0" applyAlignment="1" applyBorder="1" applyFont="1" applyNumberFormat="1">
      <alignment horizontal="center" shrinkToFit="0" vertical="center" wrapText="1"/>
    </xf>
    <xf borderId="4" fillId="0" fontId="7" numFmtId="49" xfId="0" applyAlignment="1" applyBorder="1" applyFont="1" applyNumberFormat="1">
      <alignment shrinkToFit="0" vertical="center" wrapText="1"/>
    </xf>
    <xf borderId="4" fillId="3" fontId="7" numFmtId="165" xfId="0" applyAlignment="1" applyBorder="1" applyFont="1" applyNumberFormat="1">
      <alignment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vertical="center"/>
    </xf>
    <xf borderId="4" fillId="3" fontId="7" numFmtId="0" xfId="0" applyAlignment="1" applyBorder="1" applyFont="1">
      <alignment horizontal="right" shrinkToFit="0" vertical="center" wrapText="1"/>
    </xf>
    <xf borderId="4" fillId="3" fontId="7" numFmtId="168" xfId="0" applyAlignment="1" applyBorder="1" applyFont="1" applyNumberFormat="1">
      <alignment vertical="center"/>
    </xf>
    <xf borderId="24" fillId="3" fontId="7" numFmtId="168" xfId="0" applyAlignment="1" applyBorder="1" applyFont="1" applyNumberFormat="1">
      <alignment horizontal="right" shrinkToFit="1" vertical="center" wrapText="0"/>
    </xf>
    <xf borderId="4" fillId="3" fontId="7" numFmtId="171" xfId="0" applyAlignment="1" applyBorder="1" applyFont="1" applyNumberFormat="1">
      <alignment horizontal="center" vertical="center"/>
    </xf>
    <xf borderId="25" fillId="0" fontId="7" numFmtId="49" xfId="0" applyAlignment="1" applyBorder="1" applyFont="1" applyNumberFormat="1">
      <alignment shrinkToFit="0" vertical="center" wrapText="1"/>
    </xf>
    <xf borderId="4" fillId="3" fontId="7" numFmtId="4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vertical="center"/>
    </xf>
    <xf borderId="27" fillId="0" fontId="7" numFmtId="49" xfId="0" applyAlignment="1" applyBorder="1" applyFont="1" applyNumberFormat="1">
      <alignment shrinkToFit="0" vertical="center" wrapText="1"/>
    </xf>
    <xf borderId="28" fillId="0" fontId="2" numFmtId="0" xfId="0" applyAlignment="1" applyBorder="1" applyFont="1">
      <alignment vertical="center"/>
    </xf>
    <xf borderId="4" fillId="0" fontId="20" numFmtId="49" xfId="0" applyAlignment="1" applyBorder="1" applyFont="1" applyNumberFormat="1">
      <alignment horizontal="center" shrinkToFit="0" vertical="center" wrapText="1"/>
    </xf>
    <xf borderId="4" fillId="0" fontId="14" numFmtId="49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EE29C"/>
          <bgColor rgb="FFFEE29C"/>
        </patternFill>
      </fill>
      <border/>
    </dxf>
    <dxf>
      <font/>
      <fill>
        <patternFill patternType="solid">
          <fgColor rgb="FFA9D6E2"/>
          <bgColor rgb="FFA9D6E2"/>
        </patternFill>
      </fill>
      <border/>
    </dxf>
    <dxf>
      <font/>
      <fill>
        <patternFill patternType="solid">
          <fgColor rgb="FFEAA7A7"/>
          <bgColor rgb="FFEAA7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8DC76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1.1355447E8</v>
      </c>
      <c r="C4" s="31">
        <v>3.50476E8</v>
      </c>
      <c r="D4" s="31">
        <v>3.25E8</v>
      </c>
      <c r="E4" s="32">
        <v>0.324</v>
      </c>
      <c r="F4" s="32">
        <v>0.349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1.1355447E8</v>
      </c>
      <c r="C5" s="31">
        <v>3.22041E8</v>
      </c>
      <c r="D5" s="31">
        <v>2.88741E8</v>
      </c>
      <c r="E5" s="32">
        <v>0.353</v>
      </c>
      <c r="F5" s="32">
        <v>0.393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17</v>
      </c>
      <c r="B13" s="3"/>
      <c r="C13" s="31">
        <v>1.16065E7</v>
      </c>
      <c r="D13" s="47" t="s">
        <v>17</v>
      </c>
      <c r="E13" s="3"/>
      <c r="F13" s="31">
        <v>1.410506E7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7" t="s">
        <v>18</v>
      </c>
      <c r="B14" s="3"/>
      <c r="C14" s="31">
        <v>1.745419E7</v>
      </c>
      <c r="D14" s="47" t="s">
        <v>18</v>
      </c>
      <c r="E14" s="3"/>
      <c r="F14" s="34">
        <v>0.0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48" t="s">
        <v>19</v>
      </c>
      <c r="B15" s="3"/>
      <c r="C15" s="49">
        <v>9.432482E7</v>
      </c>
      <c r="D15" s="48" t="s">
        <v>19</v>
      </c>
      <c r="E15" s="3"/>
      <c r="F15" s="49">
        <v>1.1355447E8</v>
      </c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3.5" customHeight="1">
      <c r="A16" s="50"/>
      <c r="B16" s="50"/>
      <c r="C16" s="51"/>
      <c r="D16" s="50"/>
      <c r="E16" s="50"/>
      <c r="F16" s="51"/>
      <c r="G16" s="39"/>
      <c r="H16" s="40"/>
      <c r="I16" s="41"/>
      <c r="J16" s="42"/>
      <c r="K16" s="41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52" t="s">
        <v>20</v>
      </c>
      <c r="B17" s="40"/>
      <c r="C17" s="46"/>
      <c r="D17" s="46"/>
      <c r="E17" s="40"/>
      <c r="F17" s="53"/>
      <c r="G17" s="54"/>
      <c r="H17" s="55"/>
      <c r="I17" s="42"/>
      <c r="J17" s="42"/>
      <c r="K17" s="42"/>
      <c r="L17" s="42"/>
      <c r="M17" s="43"/>
      <c r="N17" s="44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0" customHeight="1">
      <c r="A18" s="56" t="s">
        <v>21</v>
      </c>
      <c r="B18" s="56" t="s">
        <v>22</v>
      </c>
      <c r="C18" s="56" t="s">
        <v>23</v>
      </c>
      <c r="D18" s="57" t="s">
        <v>24</v>
      </c>
      <c r="E18" s="56" t="s">
        <v>25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26</v>
      </c>
      <c r="B19" s="61">
        <f>SUMIF(F42:F55,"RED",M42:M55)</f>
        <v>16450700</v>
      </c>
      <c r="C19" s="61">
        <f>L64*C39</f>
        <v>0</v>
      </c>
      <c r="D19" s="61">
        <f>L68*D39</f>
        <v>0</v>
      </c>
      <c r="E19" s="61">
        <f>SUM(B19:D19)</f>
        <v>16450700</v>
      </c>
      <c r="F19" s="43"/>
      <c r="G19" s="58"/>
      <c r="H19" s="43"/>
      <c r="I19" s="44"/>
      <c r="J19" s="44"/>
      <c r="K19" s="42"/>
      <c r="L19" s="43"/>
      <c r="M19" s="44"/>
      <c r="N19" s="59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60" t="s">
        <v>27</v>
      </c>
      <c r="B20" s="61">
        <f>SUMIF(F42:F55,"BLUE",M42:M55)</f>
        <v>1003490</v>
      </c>
      <c r="C20" s="62"/>
      <c r="D20" s="62"/>
      <c r="E20" s="61">
        <f t="shared" ref="E20:E22" si="1">SUM(B20:C20)</f>
        <v>1003490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28</v>
      </c>
      <c r="B21" s="61">
        <f>SUMIF(F42:F55,"OEM",M42:M55)</f>
        <v>0</v>
      </c>
      <c r="C21" s="64"/>
      <c r="D21" s="64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29</v>
      </c>
      <c r="B22" s="61">
        <f>SUMIF(F42:F55,"NO LOGO",M42:M55)</f>
        <v>0</v>
      </c>
      <c r="C22" s="65"/>
      <c r="D22" s="65"/>
      <c r="E22" s="61">
        <f t="shared" si="1"/>
        <v>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30</v>
      </c>
      <c r="B23" s="66">
        <f>SUM(B19:B22)</f>
        <v>17454190</v>
      </c>
      <c r="C23" s="66">
        <f t="shared" ref="C23:D23" si="2">C19</f>
        <v>0</v>
      </c>
      <c r="D23" s="66">
        <f t="shared" si="2"/>
        <v>0</v>
      </c>
      <c r="E23" s="66">
        <f>SUM(E19:E22)</f>
        <v>17454190</v>
      </c>
      <c r="F23" s="43"/>
      <c r="G23" s="58"/>
      <c r="H23" s="43"/>
      <c r="I23" s="44"/>
      <c r="J23" s="44"/>
      <c r="K23" s="44"/>
      <c r="L23" s="43"/>
      <c r="M23" s="44"/>
      <c r="N23" s="6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7"/>
      <c r="B24" s="68"/>
      <c r="C24" s="68"/>
      <c r="D24" s="68"/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2" t="s">
        <v>31</v>
      </c>
      <c r="B25" s="40"/>
      <c r="C25" s="46"/>
      <c r="D25" s="46"/>
      <c r="E25" s="43"/>
      <c r="F25" s="69"/>
      <c r="G25" s="43"/>
      <c r="H25" s="43"/>
      <c r="I25" s="42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21</v>
      </c>
      <c r="B26" s="56" t="s">
        <v>32</v>
      </c>
      <c r="C26" s="56" t="s">
        <v>23</v>
      </c>
      <c r="D26" s="56" t="s">
        <v>25</v>
      </c>
      <c r="E26" s="43"/>
      <c r="F26" s="69"/>
      <c r="G26" s="43"/>
      <c r="H26" s="43"/>
      <c r="I26" s="44"/>
      <c r="J26" s="44"/>
      <c r="K26" s="70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SUMIFS(K73:K177,O73:O177,"&lt;&gt;"&amp;"CONVUM",O73:O177,"&lt;&gt;"&amp;"MYOTOKU CHINA",F73:F177,"RED")</f>
        <v>0</v>
      </c>
      <c r="C27" s="61">
        <f>SUMIFS(K73:K177,O73:O177,"CONVUM",F73:F177,"RED")</f>
        <v>0</v>
      </c>
      <c r="D27" s="61">
        <f t="shared" ref="D27:D30" si="3">SUM(B27:C27)</f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27</v>
      </c>
      <c r="B28" s="61">
        <f>SUMIFS(K73:K177,O73:O177,"&lt;&gt;"&amp;"CONVUM",O73:O177,"&lt;&gt;"&amp;"MYOTOKU CHINA",F73:F177,"BLUE")</f>
        <v>0</v>
      </c>
      <c r="C28" s="62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28</v>
      </c>
      <c r="B29" s="61">
        <f>SUMIFS(K73:K177,O73:O177,"&lt;&gt;"&amp;"CONVUM",O73:O177,"&lt;&gt;"&amp;"MYOTOKU CHINA",F73:F177,"OEM")</f>
        <v>0</v>
      </c>
      <c r="C29" s="64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29</v>
      </c>
      <c r="B30" s="61">
        <f>SUMIFS(K73:K177,O73:O177,"&lt;&gt;"&amp;"CONVUM",O73:O177,"&lt;&gt;"&amp;"MYOTOKU CHINA",F73:F177,"NO LOGO")</f>
        <v>0</v>
      </c>
      <c r="C30" s="71"/>
      <c r="D30" s="61">
        <f t="shared" si="3"/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33</v>
      </c>
      <c r="B31" s="66">
        <f>SUM(B27:B30)</f>
        <v>0</v>
      </c>
      <c r="C31" s="66">
        <f>C27</f>
        <v>0</v>
      </c>
      <c r="D31" s="66">
        <f>SUM(D27:D30)</f>
        <v>0</v>
      </c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7"/>
      <c r="B32" s="72"/>
      <c r="C32" s="72"/>
      <c r="D32" s="72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2" t="s">
        <v>34</v>
      </c>
      <c r="B33" s="73"/>
      <c r="C33" s="74"/>
      <c r="D33" s="73"/>
      <c r="E33" s="43"/>
      <c r="F33" s="69"/>
      <c r="G33" s="43"/>
      <c r="H33" s="43"/>
      <c r="I33" s="44"/>
      <c r="J33" s="44"/>
      <c r="K33" s="43"/>
      <c r="L33" s="44"/>
      <c r="M33" s="6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56" t="s">
        <v>21</v>
      </c>
      <c r="B34" s="56" t="s">
        <v>35</v>
      </c>
      <c r="C34" s="56" t="s">
        <v>23</v>
      </c>
      <c r="D34" s="57" t="s">
        <v>24</v>
      </c>
      <c r="E34" s="56" t="s">
        <v>25</v>
      </c>
      <c r="F34" s="43"/>
      <c r="G34" s="58"/>
      <c r="H34" s="43"/>
      <c r="I34" s="44"/>
      <c r="J34" s="44"/>
      <c r="K34" s="44"/>
      <c r="L34" s="43"/>
      <c r="M34" s="44"/>
      <c r="N34" s="6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60" t="s">
        <v>36</v>
      </c>
      <c r="B35" s="61">
        <v>1.2210739E8</v>
      </c>
      <c r="C35" s="61">
        <f>3868500*C39</f>
        <v>36259063.65</v>
      </c>
      <c r="D35" s="61">
        <f>185.6*D39</f>
        <v>271866.88</v>
      </c>
      <c r="E35" s="61">
        <f t="shared" ref="E35:E37" si="4">SUM(B35:D35)</f>
        <v>158638320.5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37</v>
      </c>
      <c r="B36" s="61">
        <v>4715000.0</v>
      </c>
      <c r="C36" s="61">
        <f>4126500*C39</f>
        <v>38677271.85</v>
      </c>
      <c r="D36" s="61">
        <f>0*D39</f>
        <v>0</v>
      </c>
      <c r="E36" s="61">
        <f t="shared" si="4"/>
        <v>43392271.85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60" t="s">
        <v>38</v>
      </c>
      <c r="B37" s="61">
        <v>1.311144E8</v>
      </c>
      <c r="C37" s="61">
        <f>6560000*C39</f>
        <v>61486224</v>
      </c>
      <c r="D37" s="61">
        <v>0.0</v>
      </c>
      <c r="E37" s="61">
        <f t="shared" si="4"/>
        <v>192600624</v>
      </c>
      <c r="F37" s="43"/>
      <c r="G37" s="58"/>
      <c r="H37" s="43"/>
      <c r="I37" s="44"/>
      <c r="J37" s="44"/>
      <c r="K37" s="44"/>
      <c r="L37" s="43"/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56" t="s">
        <v>39</v>
      </c>
      <c r="B38" s="66">
        <f t="shared" ref="B38:E38" si="5">SUM(B35:B37)</f>
        <v>257936790</v>
      </c>
      <c r="C38" s="66">
        <f t="shared" si="5"/>
        <v>136422559.5</v>
      </c>
      <c r="D38" s="66">
        <f t="shared" si="5"/>
        <v>271866.88</v>
      </c>
      <c r="E38" s="66">
        <f t="shared" si="5"/>
        <v>394631216.4</v>
      </c>
      <c r="F38" s="43"/>
      <c r="G38" s="58"/>
      <c r="H38" s="43"/>
      <c r="I38" s="44"/>
      <c r="J38" s="42"/>
      <c r="K38" s="75" t="s">
        <v>40</v>
      </c>
      <c r="L38" s="75" t="s">
        <v>41</v>
      </c>
      <c r="M38" s="44"/>
      <c r="N38" s="59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6"/>
      <c r="B39" s="54"/>
      <c r="C39" s="77">
        <v>9.3729</v>
      </c>
      <c r="D39" s="78">
        <v>1464.8</v>
      </c>
      <c r="E39" s="40"/>
      <c r="F39" s="40"/>
      <c r="G39" s="54"/>
      <c r="H39" s="55"/>
      <c r="I39" s="42"/>
      <c r="J39" s="44"/>
      <c r="K39" s="42"/>
      <c r="L39" s="42"/>
      <c r="M39" s="43" t="s">
        <v>42</v>
      </c>
      <c r="N39" s="44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5.75" customHeight="1">
      <c r="A40" s="79" t="s">
        <v>43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1"/>
      <c r="O40" s="45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5.5" customHeight="1">
      <c r="A41" s="82" t="s">
        <v>44</v>
      </c>
      <c r="B41" s="82" t="s">
        <v>45</v>
      </c>
      <c r="C41" s="82" t="s">
        <v>46</v>
      </c>
      <c r="D41" s="82" t="s">
        <v>47</v>
      </c>
      <c r="E41" s="82" t="s">
        <v>48</v>
      </c>
      <c r="F41" s="82" t="s">
        <v>49</v>
      </c>
      <c r="G41" s="82" t="s">
        <v>50</v>
      </c>
      <c r="H41" s="83" t="s">
        <v>51</v>
      </c>
      <c r="I41" s="82" t="s">
        <v>52</v>
      </c>
      <c r="J41" s="84" t="s">
        <v>53</v>
      </c>
      <c r="K41" s="66" t="s">
        <v>54</v>
      </c>
      <c r="L41" s="85" t="s">
        <v>55</v>
      </c>
      <c r="M41" s="86" t="s">
        <v>56</v>
      </c>
      <c r="N41" s="86" t="s">
        <v>57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58</v>
      </c>
      <c r="B42" s="88" t="s">
        <v>59</v>
      </c>
      <c r="C42" s="30" t="s">
        <v>60</v>
      </c>
      <c r="D42" s="30" t="s">
        <v>61</v>
      </c>
      <c r="E42" s="30" t="s">
        <v>62</v>
      </c>
      <c r="F42" s="87" t="s">
        <v>63</v>
      </c>
      <c r="G42" s="87" t="s">
        <v>64</v>
      </c>
      <c r="H42" s="87" t="s">
        <v>65</v>
      </c>
      <c r="I42" s="30"/>
      <c r="J42" s="35">
        <v>16.0</v>
      </c>
      <c r="K42" s="89" t="s">
        <v>40</v>
      </c>
      <c r="L42" s="90">
        <v>1780.0</v>
      </c>
      <c r="M42" s="31">
        <v>28480.0</v>
      </c>
      <c r="N42" s="91">
        <f>SUM(M42)</f>
        <v>28480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92" t="s">
        <v>66</v>
      </c>
      <c r="B43" s="88" t="s">
        <v>66</v>
      </c>
      <c r="C43" s="30" t="s">
        <v>67</v>
      </c>
      <c r="D43" s="30" t="s">
        <v>61</v>
      </c>
      <c r="E43" s="30" t="s">
        <v>62</v>
      </c>
      <c r="F43" s="87" t="s">
        <v>63</v>
      </c>
      <c r="G43" s="87" t="s">
        <v>68</v>
      </c>
      <c r="H43" s="87" t="s">
        <v>69</v>
      </c>
      <c r="I43" s="30"/>
      <c r="J43" s="35">
        <v>50.0</v>
      </c>
      <c r="K43" s="89" t="s">
        <v>40</v>
      </c>
      <c r="L43" s="90">
        <v>9150.0</v>
      </c>
      <c r="M43" s="31">
        <v>457500.0</v>
      </c>
      <c r="N43" s="93">
        <f>SUM(M43:M48)</f>
        <v>16761500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88" t="s">
        <v>66</v>
      </c>
      <c r="C44" s="30" t="s">
        <v>67</v>
      </c>
      <c r="D44" s="30" t="s">
        <v>61</v>
      </c>
      <c r="E44" s="30" t="s">
        <v>70</v>
      </c>
      <c r="F44" s="87" t="s">
        <v>71</v>
      </c>
      <c r="G44" s="87" t="s">
        <v>72</v>
      </c>
      <c r="H44" s="87" t="s">
        <v>73</v>
      </c>
      <c r="I44" s="30"/>
      <c r="J44" s="35">
        <v>200.0</v>
      </c>
      <c r="K44" s="89" t="s">
        <v>41</v>
      </c>
      <c r="L44" s="90">
        <v>29000.0</v>
      </c>
      <c r="M44" s="31">
        <v>5800000.0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64"/>
      <c r="B45" s="88" t="s">
        <v>66</v>
      </c>
      <c r="C45" s="30" t="s">
        <v>67</v>
      </c>
      <c r="D45" s="30" t="s">
        <v>61</v>
      </c>
      <c r="E45" s="30" t="s">
        <v>70</v>
      </c>
      <c r="F45" s="87" t="s">
        <v>71</v>
      </c>
      <c r="G45" s="87" t="s">
        <v>74</v>
      </c>
      <c r="H45" s="87" t="s">
        <v>75</v>
      </c>
      <c r="I45" s="30"/>
      <c r="J45" s="35">
        <v>200.0</v>
      </c>
      <c r="K45" s="89" t="s">
        <v>41</v>
      </c>
      <c r="L45" s="90">
        <v>29000.0</v>
      </c>
      <c r="M45" s="31">
        <v>5800000.0</v>
      </c>
      <c r="N45" s="64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64"/>
      <c r="B46" s="88" t="s">
        <v>66</v>
      </c>
      <c r="C46" s="30" t="s">
        <v>67</v>
      </c>
      <c r="D46" s="30" t="s">
        <v>61</v>
      </c>
      <c r="E46" s="30" t="s">
        <v>62</v>
      </c>
      <c r="F46" s="87" t="s">
        <v>71</v>
      </c>
      <c r="G46" s="87" t="s">
        <v>76</v>
      </c>
      <c r="H46" s="87" t="s">
        <v>77</v>
      </c>
      <c r="I46" s="30"/>
      <c r="J46" s="35">
        <v>100.0</v>
      </c>
      <c r="K46" s="89" t="s">
        <v>41</v>
      </c>
      <c r="L46" s="90">
        <v>29000.0</v>
      </c>
      <c r="M46" s="31">
        <v>2900000.0</v>
      </c>
      <c r="N46" s="64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88" t="s">
        <v>66</v>
      </c>
      <c r="C47" s="30" t="s">
        <v>67</v>
      </c>
      <c r="D47" s="30" t="s">
        <v>61</v>
      </c>
      <c r="E47" s="30" t="s">
        <v>70</v>
      </c>
      <c r="F47" s="87" t="s">
        <v>71</v>
      </c>
      <c r="G47" s="87" t="s">
        <v>78</v>
      </c>
      <c r="H47" s="87" t="s">
        <v>79</v>
      </c>
      <c r="I47" s="30"/>
      <c r="J47" s="35">
        <v>50.0</v>
      </c>
      <c r="K47" s="89" t="s">
        <v>41</v>
      </c>
      <c r="L47" s="90">
        <v>29000.0</v>
      </c>
      <c r="M47" s="31">
        <v>1450000.0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88" t="s">
        <v>66</v>
      </c>
      <c r="C48" s="30" t="s">
        <v>67</v>
      </c>
      <c r="D48" s="30" t="s">
        <v>61</v>
      </c>
      <c r="E48" s="30" t="s">
        <v>70</v>
      </c>
      <c r="F48" s="87" t="s">
        <v>71</v>
      </c>
      <c r="G48" s="87" t="s">
        <v>80</v>
      </c>
      <c r="H48" s="87" t="s">
        <v>81</v>
      </c>
      <c r="I48" s="30"/>
      <c r="J48" s="35">
        <v>20.0</v>
      </c>
      <c r="K48" s="89" t="s">
        <v>40</v>
      </c>
      <c r="L48" s="90">
        <v>17700.0</v>
      </c>
      <c r="M48" s="31">
        <v>354000.0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82</v>
      </c>
      <c r="B49" s="88" t="s">
        <v>83</v>
      </c>
      <c r="C49" s="30" t="s">
        <v>84</v>
      </c>
      <c r="D49" s="30" t="s">
        <v>85</v>
      </c>
      <c r="E49" s="30" t="s">
        <v>62</v>
      </c>
      <c r="F49" s="87" t="s">
        <v>63</v>
      </c>
      <c r="G49" s="87" t="s">
        <v>86</v>
      </c>
      <c r="H49" s="87" t="s">
        <v>87</v>
      </c>
      <c r="I49" s="30"/>
      <c r="J49" s="35">
        <v>30.0</v>
      </c>
      <c r="K49" s="89" t="s">
        <v>40</v>
      </c>
      <c r="L49" s="90">
        <v>1090.0</v>
      </c>
      <c r="M49" s="31">
        <v>32700.0</v>
      </c>
      <c r="N49" s="91">
        <f>SUM(M49)</f>
        <v>32700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92" t="s">
        <v>88</v>
      </c>
      <c r="B50" s="94" t="s">
        <v>89</v>
      </c>
      <c r="C50" s="30" t="s">
        <v>67</v>
      </c>
      <c r="D50" s="30" t="s">
        <v>61</v>
      </c>
      <c r="E50" s="30" t="s">
        <v>62</v>
      </c>
      <c r="F50" s="87" t="s">
        <v>63</v>
      </c>
      <c r="G50" s="87" t="s">
        <v>90</v>
      </c>
      <c r="H50" s="87" t="s">
        <v>91</v>
      </c>
      <c r="I50" s="30"/>
      <c r="J50" s="35">
        <v>16.0</v>
      </c>
      <c r="K50" s="89" t="s">
        <v>40</v>
      </c>
      <c r="L50" s="90">
        <v>2180.0</v>
      </c>
      <c r="M50" s="31">
        <v>34880.0</v>
      </c>
      <c r="N50" s="93">
        <f>SUM(M50:M51)</f>
        <v>122080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94" t="s">
        <v>89</v>
      </c>
      <c r="C51" s="30" t="s">
        <v>67</v>
      </c>
      <c r="D51" s="30" t="s">
        <v>61</v>
      </c>
      <c r="E51" s="30" t="s">
        <v>62</v>
      </c>
      <c r="F51" s="87" t="s">
        <v>63</v>
      </c>
      <c r="G51" s="87" t="s">
        <v>90</v>
      </c>
      <c r="H51" s="87" t="s">
        <v>91</v>
      </c>
      <c r="I51" s="30"/>
      <c r="J51" s="35">
        <v>40.0</v>
      </c>
      <c r="K51" s="89" t="s">
        <v>40</v>
      </c>
      <c r="L51" s="90">
        <v>2180.0</v>
      </c>
      <c r="M51" s="31">
        <v>87200.0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92</v>
      </c>
      <c r="B52" s="88" t="s">
        <v>93</v>
      </c>
      <c r="C52" s="30" t="s">
        <v>67</v>
      </c>
      <c r="D52" s="30" t="s">
        <v>61</v>
      </c>
      <c r="E52" s="30" t="s">
        <v>62</v>
      </c>
      <c r="F52" s="87" t="s">
        <v>63</v>
      </c>
      <c r="G52" s="87" t="s">
        <v>94</v>
      </c>
      <c r="H52" s="87" t="s">
        <v>95</v>
      </c>
      <c r="I52" s="30"/>
      <c r="J52" s="35">
        <v>1.0</v>
      </c>
      <c r="K52" s="89" t="s">
        <v>40</v>
      </c>
      <c r="L52" s="90">
        <v>5830.0</v>
      </c>
      <c r="M52" s="31">
        <v>5830.0</v>
      </c>
      <c r="N52" s="91">
        <f t="shared" ref="N52:N53" si="6">SUM(M52)</f>
        <v>5830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87" t="s">
        <v>96</v>
      </c>
      <c r="B53" s="88" t="s">
        <v>97</v>
      </c>
      <c r="C53" s="30" t="s">
        <v>98</v>
      </c>
      <c r="D53" s="30" t="s">
        <v>85</v>
      </c>
      <c r="E53" s="30" t="s">
        <v>62</v>
      </c>
      <c r="F53" s="87" t="s">
        <v>71</v>
      </c>
      <c r="G53" s="87" t="s">
        <v>74</v>
      </c>
      <c r="H53" s="87" t="s">
        <v>75</v>
      </c>
      <c r="I53" s="30"/>
      <c r="J53" s="35">
        <v>3.0</v>
      </c>
      <c r="K53" s="89" t="s">
        <v>40</v>
      </c>
      <c r="L53" s="90">
        <v>48900.0</v>
      </c>
      <c r="M53" s="31">
        <v>146700.0</v>
      </c>
      <c r="N53" s="91">
        <f t="shared" si="6"/>
        <v>146700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2" t="s">
        <v>99</v>
      </c>
      <c r="B54" s="88" t="s">
        <v>100</v>
      </c>
      <c r="C54" s="30" t="s">
        <v>101</v>
      </c>
      <c r="D54" s="30" t="s">
        <v>61</v>
      </c>
      <c r="E54" s="30" t="s">
        <v>62</v>
      </c>
      <c r="F54" s="87" t="s">
        <v>63</v>
      </c>
      <c r="G54" s="87" t="s">
        <v>102</v>
      </c>
      <c r="H54" s="87" t="s">
        <v>103</v>
      </c>
      <c r="I54" s="30"/>
      <c r="J54" s="35">
        <v>20.0</v>
      </c>
      <c r="K54" s="89" t="s">
        <v>40</v>
      </c>
      <c r="L54" s="90">
        <v>7070.0</v>
      </c>
      <c r="M54" s="31">
        <v>141400.0</v>
      </c>
      <c r="N54" s="93">
        <f>SUM(M54:M55)</f>
        <v>356900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71"/>
      <c r="B55" s="88" t="s">
        <v>104</v>
      </c>
      <c r="C55" s="30" t="s">
        <v>98</v>
      </c>
      <c r="D55" s="30" t="s">
        <v>105</v>
      </c>
      <c r="E55" s="30" t="s">
        <v>106</v>
      </c>
      <c r="F55" s="87" t="s">
        <v>63</v>
      </c>
      <c r="G55" s="87" t="s">
        <v>107</v>
      </c>
      <c r="H55" s="87" t="s">
        <v>108</v>
      </c>
      <c r="I55" s="30"/>
      <c r="J55" s="35">
        <v>50.0</v>
      </c>
      <c r="K55" s="89" t="s">
        <v>40</v>
      </c>
      <c r="L55" s="90">
        <v>4310.0</v>
      </c>
      <c r="M55" s="31">
        <v>215500.0</v>
      </c>
      <c r="N55" s="71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0" customHeight="1">
      <c r="A56" s="95" t="str">
        <f>MID(CELL("filename",$A$1),FIND("]",CELL("filename",$A$1))+1,100)&amp;" TOTAL"</f>
        <v>#VALUE!</v>
      </c>
      <c r="B56" s="96"/>
      <c r="C56" s="96"/>
      <c r="D56" s="96"/>
      <c r="E56" s="96"/>
      <c r="F56" s="96"/>
      <c r="G56" s="97"/>
      <c r="H56" s="97"/>
      <c r="I56" s="96"/>
      <c r="J56" s="96"/>
      <c r="K56" s="98"/>
      <c r="L56" s="99"/>
      <c r="M56" s="66">
        <f t="shared" ref="M56:N56" si="7">SUM(M42:M55)</f>
        <v>17454190</v>
      </c>
      <c r="N56" s="100">
        <f t="shared" si="7"/>
        <v>17454190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101"/>
      <c r="B57" s="102"/>
      <c r="C57" s="102"/>
      <c r="D57" s="102"/>
      <c r="E57" s="102"/>
      <c r="F57" s="102"/>
      <c r="G57" s="102"/>
      <c r="H57" s="103"/>
      <c r="I57" s="102"/>
      <c r="J57" s="102"/>
      <c r="K57" s="102"/>
      <c r="L57" s="104"/>
      <c r="M57" s="105"/>
      <c r="N57" s="10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20.25" customHeight="1">
      <c r="A58" s="101" t="s">
        <v>109</v>
      </c>
      <c r="B58" s="106"/>
      <c r="C58" s="107"/>
      <c r="D58" s="107"/>
      <c r="E58" s="107"/>
      <c r="F58" s="107"/>
      <c r="G58" s="107"/>
      <c r="H58" s="108"/>
      <c r="I58" s="107"/>
      <c r="J58" s="107"/>
      <c r="K58" s="43"/>
      <c r="L58" s="109"/>
      <c r="M58" s="43"/>
      <c r="N58" s="109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01"/>
      <c r="B59" s="106"/>
      <c r="C59" s="107"/>
      <c r="D59" s="107"/>
      <c r="E59" s="107"/>
      <c r="F59" s="107"/>
      <c r="G59" s="107"/>
      <c r="H59" s="108"/>
      <c r="I59" s="107"/>
      <c r="J59" s="107"/>
      <c r="K59" s="43"/>
      <c r="L59" s="109"/>
      <c r="M59" s="43"/>
      <c r="N59" s="109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10" t="s">
        <v>110</v>
      </c>
      <c r="B60" s="67"/>
      <c r="C60" s="67"/>
      <c r="D60" s="101"/>
      <c r="E60" s="67"/>
      <c r="F60" s="67"/>
      <c r="G60" s="67"/>
      <c r="H60" s="111"/>
      <c r="I60" s="112"/>
      <c r="J60" s="112"/>
      <c r="K60" s="112"/>
      <c r="L60" s="112"/>
      <c r="M60" s="68"/>
      <c r="N60" s="113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44</v>
      </c>
      <c r="B61" s="57" t="s">
        <v>45</v>
      </c>
      <c r="C61" s="57" t="s">
        <v>46</v>
      </c>
      <c r="D61" s="57" t="s">
        <v>111</v>
      </c>
      <c r="E61" s="57" t="s">
        <v>48</v>
      </c>
      <c r="F61" s="57" t="s">
        <v>112</v>
      </c>
      <c r="G61" s="57" t="s">
        <v>50</v>
      </c>
      <c r="H61" s="57" t="s">
        <v>51</v>
      </c>
      <c r="I61" s="57" t="s">
        <v>53</v>
      </c>
      <c r="J61" s="57" t="s">
        <v>113</v>
      </c>
      <c r="K61" s="57" t="s">
        <v>114</v>
      </c>
      <c r="L61" s="114" t="s">
        <v>115</v>
      </c>
      <c r="M61" s="114" t="s">
        <v>116</v>
      </c>
      <c r="N61" s="58"/>
      <c r="O61" s="115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6.5" hidden="1" customHeight="1">
      <c r="A62" s="92"/>
      <c r="B62" s="117"/>
      <c r="C62" s="88"/>
      <c r="D62" s="30"/>
      <c r="E62" s="30"/>
      <c r="F62" s="87"/>
      <c r="G62" s="87"/>
      <c r="H62" s="87"/>
      <c r="I62" s="34"/>
      <c r="J62" s="118"/>
      <c r="K62" s="118"/>
      <c r="L62" s="119"/>
      <c r="M62" s="120"/>
      <c r="N62" s="44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71"/>
      <c r="B63" s="71"/>
      <c r="C63" s="88"/>
      <c r="D63" s="30"/>
      <c r="E63" s="30"/>
      <c r="F63" s="87"/>
      <c r="G63" s="87"/>
      <c r="H63" s="87"/>
      <c r="I63" s="31"/>
      <c r="J63" s="118"/>
      <c r="K63" s="118"/>
      <c r="L63" s="64"/>
      <c r="M63" s="120"/>
      <c r="N63" s="44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21" t="str">
        <f>A56</f>
        <v>#VALUE!</v>
      </c>
      <c r="B64" s="2"/>
      <c r="C64" s="2"/>
      <c r="D64" s="2"/>
      <c r="E64" s="2"/>
      <c r="F64" s="2"/>
      <c r="G64" s="2"/>
      <c r="H64" s="2"/>
      <c r="I64" s="2"/>
      <c r="J64" s="3"/>
      <c r="K64" s="122">
        <f>SUM(K62:K63)</f>
        <v>0</v>
      </c>
      <c r="L64" s="123">
        <f>SUM(L62)</f>
        <v>0</v>
      </c>
      <c r="M64" s="56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101"/>
      <c r="B65" s="67"/>
      <c r="C65" s="67"/>
      <c r="D65" s="101"/>
      <c r="E65" s="67"/>
      <c r="F65" s="67"/>
      <c r="G65" s="67"/>
      <c r="H65" s="111"/>
      <c r="I65" s="112"/>
      <c r="J65" s="112"/>
      <c r="K65" s="112"/>
      <c r="L65" s="112"/>
      <c r="M65" s="68"/>
      <c r="N65" s="113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57" t="s">
        <v>44</v>
      </c>
      <c r="B66" s="57" t="s">
        <v>45</v>
      </c>
      <c r="C66" s="57" t="s">
        <v>46</v>
      </c>
      <c r="D66" s="57" t="s">
        <v>117</v>
      </c>
      <c r="E66" s="57" t="s">
        <v>48</v>
      </c>
      <c r="F66" s="57" t="s">
        <v>118</v>
      </c>
      <c r="G66" s="57" t="s">
        <v>50</v>
      </c>
      <c r="H66" s="57" t="s">
        <v>51</v>
      </c>
      <c r="I66" s="114" t="s">
        <v>53</v>
      </c>
      <c r="J66" s="114" t="s">
        <v>119</v>
      </c>
      <c r="K66" s="124" t="s">
        <v>120</v>
      </c>
      <c r="L66" s="125" t="s">
        <v>121</v>
      </c>
      <c r="M66" s="124" t="s">
        <v>116</v>
      </c>
      <c r="N66" s="58"/>
      <c r="O66" s="115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6.5" hidden="1" customHeight="1">
      <c r="A67" s="87"/>
      <c r="B67" s="30"/>
      <c r="C67" s="30"/>
      <c r="D67" s="30"/>
      <c r="E67" s="30"/>
      <c r="F67" s="87"/>
      <c r="G67" s="87"/>
      <c r="H67" s="87"/>
      <c r="I67" s="126"/>
      <c r="J67" s="35"/>
      <c r="K67" s="127"/>
      <c r="L67" s="128"/>
      <c r="M67" s="31"/>
      <c r="N67" s="58"/>
      <c r="O67" s="115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6.5" hidden="1" customHeight="1">
      <c r="A68" s="129" t="str">
        <f>A56</f>
        <v>#VALUE!</v>
      </c>
      <c r="B68" s="80"/>
      <c r="C68" s="80"/>
      <c r="D68" s="80"/>
      <c r="E68" s="80"/>
      <c r="F68" s="80"/>
      <c r="G68" s="80"/>
      <c r="H68" s="80"/>
      <c r="I68" s="80"/>
      <c r="J68" s="130"/>
      <c r="K68" s="131">
        <f t="shared" ref="K68:L68" si="8">SUM(K67)</f>
        <v>0</v>
      </c>
      <c r="L68" s="131">
        <f t="shared" si="8"/>
        <v>0</v>
      </c>
      <c r="M68" s="132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33"/>
      <c r="B69" s="134"/>
      <c r="C69" s="112"/>
      <c r="D69" s="112"/>
      <c r="E69" s="134"/>
      <c r="F69" s="134"/>
      <c r="G69" s="134"/>
      <c r="H69" s="111"/>
      <c r="I69" s="112"/>
      <c r="J69" s="112"/>
      <c r="K69" s="112"/>
      <c r="L69" s="112"/>
      <c r="M69" s="134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33"/>
      <c r="B70" s="134"/>
      <c r="C70" s="112"/>
      <c r="D70" s="112"/>
      <c r="E70" s="134"/>
      <c r="F70" s="134"/>
      <c r="G70" s="134"/>
      <c r="H70" s="111"/>
      <c r="I70" s="112"/>
      <c r="J70" s="112"/>
      <c r="K70" s="112"/>
      <c r="L70" s="112"/>
      <c r="M70" s="134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33"/>
      <c r="B71" s="134"/>
      <c r="C71" s="112"/>
      <c r="D71" s="112"/>
      <c r="E71" s="134"/>
      <c r="F71" s="134"/>
      <c r="G71" s="134"/>
      <c r="H71" s="111"/>
      <c r="I71" s="112"/>
      <c r="J71" s="112"/>
      <c r="K71" s="112"/>
      <c r="L71" s="112"/>
      <c r="M71" s="134"/>
      <c r="N71" s="11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33"/>
      <c r="B72" s="134"/>
      <c r="C72" s="112"/>
      <c r="D72" s="112"/>
      <c r="E72" s="134"/>
      <c r="F72" s="134"/>
      <c r="G72" s="134"/>
      <c r="H72" s="111"/>
      <c r="I72" s="112"/>
      <c r="J72" s="112"/>
      <c r="K72" s="112"/>
      <c r="L72" s="112"/>
      <c r="M72" s="134"/>
      <c r="N72" s="11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2" t="s">
        <v>122</v>
      </c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2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2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2"/>
      <c r="B77" s="135"/>
      <c r="C77" s="136"/>
      <c r="D77" s="136"/>
      <c r="E77" s="135"/>
      <c r="F77" s="136"/>
      <c r="G77" s="135"/>
      <c r="H77" s="137"/>
      <c r="I77" s="136"/>
      <c r="J77" s="136"/>
      <c r="K77" s="136"/>
      <c r="L77" s="136"/>
      <c r="M77" s="135"/>
      <c r="N77" s="138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123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44</v>
      </c>
      <c r="B79" s="56" t="s">
        <v>45</v>
      </c>
      <c r="C79" s="56" t="s">
        <v>46</v>
      </c>
      <c r="D79" s="56" t="s">
        <v>124</v>
      </c>
      <c r="E79" s="56" t="s">
        <v>48</v>
      </c>
      <c r="F79" s="56" t="s">
        <v>49</v>
      </c>
      <c r="G79" s="56" t="s">
        <v>50</v>
      </c>
      <c r="H79" s="57" t="s">
        <v>51</v>
      </c>
      <c r="I79" s="139" t="s">
        <v>53</v>
      </c>
      <c r="J79" s="139" t="s">
        <v>55</v>
      </c>
      <c r="K79" s="124" t="s">
        <v>125</v>
      </c>
      <c r="L79" s="125" t="s">
        <v>57</v>
      </c>
      <c r="M79" s="140" t="s">
        <v>116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87"/>
      <c r="B80" s="88"/>
      <c r="C80" s="30"/>
      <c r="D80" s="30"/>
      <c r="E80" s="30"/>
      <c r="F80" s="87"/>
      <c r="G80" s="87"/>
      <c r="H80" s="87"/>
      <c r="I80" s="34"/>
      <c r="J80" s="31"/>
      <c r="K80" s="141"/>
      <c r="L80" s="91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87"/>
      <c r="B81" s="88"/>
      <c r="C81" s="30"/>
      <c r="D81" s="30"/>
      <c r="E81" s="30"/>
      <c r="F81" s="87"/>
      <c r="G81" s="87"/>
      <c r="H81" s="87"/>
      <c r="I81" s="34"/>
      <c r="J81" s="31"/>
      <c r="K81" s="141"/>
      <c r="L81" s="91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87"/>
      <c r="B82" s="144"/>
      <c r="C82" s="30"/>
      <c r="D82" s="30"/>
      <c r="E82" s="30"/>
      <c r="F82" s="87"/>
      <c r="G82" s="87"/>
      <c r="H82" s="87"/>
      <c r="I82" s="34"/>
      <c r="J82" s="31"/>
      <c r="K82" s="141"/>
      <c r="L82" s="91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87"/>
      <c r="B83" s="144"/>
      <c r="C83" s="30"/>
      <c r="D83" s="30"/>
      <c r="E83" s="30"/>
      <c r="F83" s="87"/>
      <c r="G83" s="87"/>
      <c r="H83" s="87"/>
      <c r="I83" s="34"/>
      <c r="J83" s="31"/>
      <c r="K83" s="141"/>
      <c r="L83" s="91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92"/>
      <c r="B84" s="88"/>
      <c r="C84" s="30"/>
      <c r="D84" s="30"/>
      <c r="E84" s="30"/>
      <c r="F84" s="87"/>
      <c r="G84" s="87"/>
      <c r="H84" s="87"/>
      <c r="I84" s="34"/>
      <c r="J84" s="31"/>
      <c r="K84" s="141"/>
      <c r="L84" s="93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64"/>
      <c r="B85" s="88"/>
      <c r="C85" s="30"/>
      <c r="D85" s="30"/>
      <c r="E85" s="30"/>
      <c r="F85" s="87"/>
      <c r="G85" s="87"/>
      <c r="H85" s="87"/>
      <c r="I85" s="34"/>
      <c r="J85" s="31"/>
      <c r="K85" s="141"/>
      <c r="L85" s="64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71"/>
      <c r="B86" s="88"/>
      <c r="C86" s="30"/>
      <c r="D86" s="30"/>
      <c r="E86" s="30"/>
      <c r="F86" s="87"/>
      <c r="G86" s="87"/>
      <c r="H86" s="87"/>
      <c r="I86" s="34"/>
      <c r="J86" s="31"/>
      <c r="K86" s="141"/>
      <c r="L86" s="71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88"/>
      <c r="C87" s="30"/>
      <c r="D87" s="30"/>
      <c r="E87" s="30"/>
      <c r="F87" s="87"/>
      <c r="G87" s="87"/>
      <c r="H87" s="87"/>
      <c r="I87" s="34"/>
      <c r="J87" s="31"/>
      <c r="K87" s="141"/>
      <c r="L87" s="91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145"/>
      <c r="B88" s="30"/>
      <c r="C88" s="30"/>
      <c r="D88" s="30"/>
      <c r="E88" s="30"/>
      <c r="F88" s="87"/>
      <c r="G88" s="87"/>
      <c r="H88" s="87"/>
      <c r="I88" s="34"/>
      <c r="J88" s="31"/>
      <c r="K88" s="141"/>
      <c r="L88" s="34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145"/>
      <c r="B89" s="30"/>
      <c r="C89" s="30"/>
      <c r="D89" s="30"/>
      <c r="E89" s="30"/>
      <c r="F89" s="87"/>
      <c r="G89" s="87"/>
      <c r="H89" s="87"/>
      <c r="I89" s="34"/>
      <c r="J89" s="31"/>
      <c r="K89" s="141"/>
      <c r="L89" s="34"/>
      <c r="M89" s="142"/>
      <c r="N89" s="143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145"/>
      <c r="B90" s="30"/>
      <c r="C90" s="30"/>
      <c r="D90" s="30"/>
      <c r="E90" s="30"/>
      <c r="F90" s="87"/>
      <c r="G90" s="87"/>
      <c r="H90" s="87"/>
      <c r="I90" s="34"/>
      <c r="J90" s="31"/>
      <c r="K90" s="141"/>
      <c r="L90" s="34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145"/>
      <c r="B91" s="30"/>
      <c r="C91" s="30"/>
      <c r="D91" s="30"/>
      <c r="E91" s="30"/>
      <c r="F91" s="87"/>
      <c r="G91" s="87"/>
      <c r="H91" s="87"/>
      <c r="I91" s="34"/>
      <c r="J91" s="31"/>
      <c r="K91" s="141"/>
      <c r="L91" s="34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145"/>
      <c r="B92" s="30"/>
      <c r="C92" s="30"/>
      <c r="D92" s="30"/>
      <c r="E92" s="30"/>
      <c r="F92" s="87"/>
      <c r="G92" s="87"/>
      <c r="H92" s="87"/>
      <c r="I92" s="34"/>
      <c r="J92" s="31"/>
      <c r="K92" s="141"/>
      <c r="L92" s="3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145"/>
      <c r="B93" s="30"/>
      <c r="C93" s="30"/>
      <c r="D93" s="30"/>
      <c r="E93" s="30"/>
      <c r="F93" s="87"/>
      <c r="G93" s="87"/>
      <c r="H93" s="87"/>
      <c r="I93" s="34"/>
      <c r="J93" s="31"/>
      <c r="K93" s="141"/>
      <c r="L93" s="3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145"/>
      <c r="B94" s="30"/>
      <c r="C94" s="30"/>
      <c r="D94" s="30"/>
      <c r="E94" s="30"/>
      <c r="F94" s="87"/>
      <c r="G94" s="87"/>
      <c r="H94" s="87"/>
      <c r="I94" s="34"/>
      <c r="J94" s="31"/>
      <c r="K94" s="141"/>
      <c r="L94" s="3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145"/>
      <c r="B95" s="30"/>
      <c r="C95" s="30"/>
      <c r="D95" s="30"/>
      <c r="E95" s="30"/>
      <c r="F95" s="87"/>
      <c r="G95" s="87"/>
      <c r="H95" s="87"/>
      <c r="I95" s="34"/>
      <c r="J95" s="31"/>
      <c r="K95" s="141"/>
      <c r="L95" s="3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145"/>
      <c r="B96" s="30"/>
      <c r="C96" s="30"/>
      <c r="D96" s="30"/>
      <c r="E96" s="30"/>
      <c r="F96" s="87"/>
      <c r="G96" s="87"/>
      <c r="H96" s="87"/>
      <c r="I96" s="34"/>
      <c r="J96" s="31"/>
      <c r="K96" s="141"/>
      <c r="L96" s="3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145"/>
      <c r="B97" s="30"/>
      <c r="C97" s="30"/>
      <c r="D97" s="30"/>
      <c r="E97" s="30"/>
      <c r="F97" s="87"/>
      <c r="G97" s="87"/>
      <c r="H97" s="87"/>
      <c r="I97" s="34"/>
      <c r="J97" s="31"/>
      <c r="K97" s="141"/>
      <c r="L97" s="3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146"/>
      <c r="B98" s="30"/>
      <c r="C98" s="30"/>
      <c r="D98" s="30"/>
      <c r="E98" s="30"/>
      <c r="F98" s="87"/>
      <c r="G98" s="87"/>
      <c r="H98" s="87"/>
      <c r="I98" s="34"/>
      <c r="J98" s="31"/>
      <c r="K98" s="141"/>
      <c r="L98" s="3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92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147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64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6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71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71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87"/>
      <c r="B102" s="148"/>
      <c r="C102" s="30"/>
      <c r="D102" s="30"/>
      <c r="E102" s="30"/>
      <c r="F102" s="87"/>
      <c r="G102" s="87"/>
      <c r="H102" s="87"/>
      <c r="I102" s="34"/>
      <c r="J102" s="31"/>
      <c r="K102" s="31"/>
      <c r="L102" s="91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87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9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87"/>
      <c r="B104" s="148"/>
      <c r="C104" s="30"/>
      <c r="D104" s="30"/>
      <c r="E104" s="30"/>
      <c r="F104" s="87"/>
      <c r="G104" s="87"/>
      <c r="H104" s="87"/>
      <c r="I104" s="34"/>
      <c r="J104" s="31"/>
      <c r="K104" s="31"/>
      <c r="L104" s="91"/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92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93"/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hidden="1" customHeight="1">
      <c r="A106" s="64"/>
      <c r="B106" s="30"/>
      <c r="C106" s="30"/>
      <c r="D106" s="30"/>
      <c r="E106" s="30"/>
      <c r="F106" s="87"/>
      <c r="G106" s="87"/>
      <c r="H106" s="87"/>
      <c r="I106" s="34"/>
      <c r="J106" s="31"/>
      <c r="K106" s="31"/>
      <c r="L106" s="64"/>
      <c r="M106" s="142"/>
      <c r="N106" s="143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hidden="1" customHeight="1">
      <c r="A107" s="64"/>
      <c r="B107" s="30"/>
      <c r="C107" s="30"/>
      <c r="D107" s="30"/>
      <c r="E107" s="30"/>
      <c r="F107" s="87"/>
      <c r="G107" s="87"/>
      <c r="H107" s="87"/>
      <c r="I107" s="34"/>
      <c r="J107" s="31"/>
      <c r="K107" s="31"/>
      <c r="L107" s="64"/>
      <c r="M107" s="142"/>
      <c r="N107" s="143"/>
      <c r="O107" s="45"/>
      <c r="P107" s="46"/>
      <c r="Q107" s="46"/>
      <c r="R107" s="46"/>
      <c r="S107" s="45"/>
      <c r="T107" s="45"/>
      <c r="U107" s="45"/>
      <c r="V107" s="45"/>
      <c r="W107" s="45"/>
      <c r="X107" s="45"/>
      <c r="Y107" s="45"/>
      <c r="Z107" s="45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42"/>
      <c r="N108" s="143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42"/>
      <c r="N109" s="143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hidden="1" customHeight="1">
      <c r="A110" s="64"/>
      <c r="B110" s="149"/>
      <c r="C110" s="30"/>
      <c r="D110" s="30"/>
      <c r="E110" s="30"/>
      <c r="F110" s="87"/>
      <c r="G110" s="87"/>
      <c r="H110" s="87"/>
      <c r="I110" s="34"/>
      <c r="J110" s="31"/>
      <c r="K110" s="31"/>
      <c r="L110" s="64"/>
      <c r="M110" s="142"/>
      <c r="N110" s="143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hidden="1" customHeight="1">
      <c r="A111" s="71"/>
      <c r="B111" s="149"/>
      <c r="C111" s="30"/>
      <c r="D111" s="30"/>
      <c r="E111" s="30"/>
      <c r="F111" s="87"/>
      <c r="G111" s="87"/>
      <c r="H111" s="87"/>
      <c r="I111" s="34"/>
      <c r="J111" s="31"/>
      <c r="K111" s="31"/>
      <c r="L111" s="71"/>
      <c r="M111" s="142"/>
      <c r="N111" s="143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hidden="1" customHeight="1">
      <c r="A112" s="92"/>
      <c r="B112" s="30"/>
      <c r="C112" s="30"/>
      <c r="D112" s="30"/>
      <c r="E112" s="30"/>
      <c r="F112" s="87"/>
      <c r="G112" s="87"/>
      <c r="H112" s="87"/>
      <c r="I112" s="34"/>
      <c r="J112" s="31"/>
      <c r="K112" s="31"/>
      <c r="L112" s="93"/>
      <c r="M112" s="142"/>
      <c r="N112" s="143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hidden="1" customHeight="1">
      <c r="A113" s="71"/>
      <c r="B113" s="30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42"/>
      <c r="N113" s="143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hidden="1" customHeight="1">
      <c r="A114" s="92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3"/>
      <c r="M114" s="142"/>
      <c r="N114" s="143"/>
      <c r="O114" s="45"/>
      <c r="P114" s="46"/>
      <c r="Q114" s="46"/>
      <c r="R114" s="46"/>
      <c r="S114" s="45"/>
      <c r="T114" s="45"/>
      <c r="U114" s="45"/>
      <c r="V114" s="45"/>
      <c r="W114" s="45"/>
      <c r="X114" s="45"/>
      <c r="Y114" s="45"/>
      <c r="Z114" s="45"/>
    </row>
    <row r="115" ht="16.5" hidden="1" customHeight="1">
      <c r="A115" s="64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64"/>
      <c r="M115" s="142"/>
      <c r="N115" s="143"/>
      <c r="O115" s="45"/>
      <c r="P115" s="46"/>
      <c r="Q115" s="46"/>
      <c r="R115" s="46"/>
      <c r="S115" s="45"/>
      <c r="T115" s="45"/>
      <c r="U115" s="45"/>
      <c r="V115" s="45"/>
      <c r="W115" s="45"/>
      <c r="X115" s="45"/>
      <c r="Y115" s="45"/>
      <c r="Z115" s="45"/>
    </row>
    <row r="116" ht="16.5" hidden="1" customHeight="1">
      <c r="A116" s="7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71"/>
      <c r="M116" s="142"/>
      <c r="N116" s="143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92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93"/>
      <c r="M117" s="142"/>
      <c r="N117" s="143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64"/>
      <c r="B118" s="30"/>
      <c r="C118" s="30"/>
      <c r="D118" s="30"/>
      <c r="E118" s="30"/>
      <c r="F118" s="87"/>
      <c r="G118" s="87"/>
      <c r="H118" s="87"/>
      <c r="I118" s="34"/>
      <c r="J118" s="31"/>
      <c r="K118" s="31"/>
      <c r="L118" s="64"/>
      <c r="M118" s="142"/>
      <c r="N118" s="143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71"/>
      <c r="B119" s="148"/>
      <c r="C119" s="30"/>
      <c r="D119" s="30"/>
      <c r="E119" s="30"/>
      <c r="F119" s="87"/>
      <c r="G119" s="87"/>
      <c r="H119" s="87"/>
      <c r="I119" s="34"/>
      <c r="J119" s="31"/>
      <c r="K119" s="31"/>
      <c r="L119" s="71"/>
      <c r="M119" s="142"/>
      <c r="N119" s="143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92"/>
      <c r="B120" s="148"/>
      <c r="C120" s="30"/>
      <c r="D120" s="30"/>
      <c r="E120" s="30"/>
      <c r="F120" s="87"/>
      <c r="G120" s="87"/>
      <c r="H120" s="87"/>
      <c r="I120" s="34"/>
      <c r="J120" s="31"/>
      <c r="K120" s="31"/>
      <c r="L120" s="93"/>
      <c r="M120" s="142"/>
      <c r="N120" s="143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64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64"/>
      <c r="M121" s="142"/>
      <c r="N121" s="143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42"/>
      <c r="N123" s="143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42"/>
      <c r="N124" s="143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42"/>
      <c r="N126" s="143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64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64"/>
      <c r="M127" s="142"/>
      <c r="N127" s="143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6.5" hidden="1" customHeight="1">
      <c r="A128" s="64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64"/>
      <c r="M128" s="142"/>
      <c r="N128" s="143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6.5" hidden="1" customHeight="1">
      <c r="A129" s="64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64"/>
      <c r="M129" s="142"/>
      <c r="N129" s="143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6.5" hidden="1" customHeight="1">
      <c r="A130" s="71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71"/>
      <c r="M130" s="142"/>
      <c r="N130" s="143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7.25" hidden="1" customHeight="1">
      <c r="A131" s="150" t="str">
        <f>MID(CELL("filename",$A$1),FIND("]",CELL("filename",$A$1))+1,100)&amp;" TOTAL"</f>
        <v>#VALUE!</v>
      </c>
      <c r="B131" s="151"/>
      <c r="C131" s="151"/>
      <c r="D131" s="151"/>
      <c r="E131" s="151"/>
      <c r="F131" s="97"/>
      <c r="G131" s="97"/>
      <c r="H131" s="97"/>
      <c r="I131" s="151"/>
      <c r="J131" s="152"/>
      <c r="K131" s="100">
        <f t="shared" ref="K131:L131" si="9">SUM(K80:K130)</f>
        <v>0</v>
      </c>
      <c r="L131" s="100">
        <f t="shared" si="9"/>
        <v>0</v>
      </c>
      <c r="M131" s="153"/>
      <c r="N131" s="15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2.7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70"/>
      <c r="I137" s="42"/>
      <c r="J137" s="42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55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155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0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D14:E14"/>
    <mergeCell ref="D15:E15"/>
    <mergeCell ref="A14:B14"/>
    <mergeCell ref="A15:B15"/>
    <mergeCell ref="C20:C22"/>
    <mergeCell ref="D20:D22"/>
    <mergeCell ref="C28:C30"/>
    <mergeCell ref="A40:N40"/>
    <mergeCell ref="N43:N48"/>
    <mergeCell ref="L84:L86"/>
    <mergeCell ref="L99:L101"/>
    <mergeCell ref="L105:L111"/>
    <mergeCell ref="L112:L113"/>
    <mergeCell ref="L114:L116"/>
    <mergeCell ref="L117:L119"/>
    <mergeCell ref="L120:L130"/>
    <mergeCell ref="N50:N51"/>
    <mergeCell ref="N54:N55"/>
    <mergeCell ref="L62:L63"/>
    <mergeCell ref="A64:J64"/>
    <mergeCell ref="A68:J68"/>
    <mergeCell ref="A78:N78"/>
    <mergeCell ref="M79:N79"/>
    <mergeCell ref="A105:A111"/>
    <mergeCell ref="A112:A113"/>
    <mergeCell ref="A114:A116"/>
    <mergeCell ref="A117:A119"/>
    <mergeCell ref="A120:A130"/>
    <mergeCell ref="A43:A48"/>
    <mergeCell ref="A50:A51"/>
    <mergeCell ref="A54:A55"/>
    <mergeCell ref="A62:A63"/>
    <mergeCell ref="B62:B63"/>
    <mergeCell ref="A84:A86"/>
    <mergeCell ref="A99:A101"/>
  </mergeCells>
  <conditionalFormatting sqref="D24:D33 F39:F1000">
    <cfRule type="containsText" dxfId="0" priority="1" operator="containsText" text="NO LOGO">
      <formula>NOT(ISERROR(SEARCH(("NO LOGO"),(D24))))</formula>
    </cfRule>
  </conditionalFormatting>
  <conditionalFormatting sqref="D24:D33 F39:F1000">
    <cfRule type="containsText" dxfId="1" priority="2" operator="containsText" text="BLUE">
      <formula>NOT(ISERROR(SEARCH(("BLUE"),(D24))))</formula>
    </cfRule>
  </conditionalFormatting>
  <conditionalFormatting sqref="D24:D33 F39:F1000">
    <cfRule type="containsText" dxfId="2" priority="3" operator="containsText" text="RED">
      <formula>NOT(ISERROR(SEARCH(("RED"),(D24))))</formula>
    </cfRule>
  </conditionalFormatting>
  <conditionalFormatting sqref="E18:E23 E34:E38">
    <cfRule type="containsText" dxfId="0" priority="4" operator="containsText" text="NO LOGO">
      <formula>NOT(ISERROR(SEARCH(("NO LOGO"),(E18))))</formula>
    </cfRule>
  </conditionalFormatting>
  <conditionalFormatting sqref="E18:E23 E34:E38">
    <cfRule type="containsText" dxfId="1" priority="5" operator="containsText" text="BLUE">
      <formula>NOT(ISERROR(SEARCH(("BLUE"),(E18))))</formula>
    </cfRule>
  </conditionalFormatting>
  <conditionalFormatting sqref="E18:E23 E34:E38">
    <cfRule type="containsText" dxfId="2" priority="6" operator="containsText" text="RED">
      <formula>NOT(ISERROR(SEARCH(("RED"),(E18))))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7">
    <cfRule type="containsText" dxfId="0" priority="10" operator="containsText" text="NO LOGO">
      <formula>NOT(ISERROR(SEARCH(("NO LOGO"),(F17))))</formula>
    </cfRule>
  </conditionalFormatting>
  <conditionalFormatting sqref="F17">
    <cfRule type="containsText" dxfId="1" priority="11" operator="containsText" text="BLUE">
      <formula>NOT(ISERROR(SEARCH(("BLUE"),(F17))))</formula>
    </cfRule>
  </conditionalFormatting>
  <conditionalFormatting sqref="F17">
    <cfRule type="containsText" dxfId="2" priority="12" operator="containsText" text="RED">
      <formula>NOT(ISERROR(SEARCH(("RED"),(F17))))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126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1.1355447E8</v>
      </c>
      <c r="C4" s="31">
        <v>3.50476E8</v>
      </c>
      <c r="D4" s="31">
        <v>3.25E8</v>
      </c>
      <c r="E4" s="32">
        <v>0.324</v>
      </c>
      <c r="F4" s="32">
        <v>0.349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1.1355447E8</v>
      </c>
      <c r="C5" s="31">
        <v>3.22041E8</v>
      </c>
      <c r="D5" s="31">
        <v>2.88741E8</v>
      </c>
      <c r="E5" s="32">
        <v>0.353</v>
      </c>
      <c r="F5" s="32">
        <v>0.393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17</v>
      </c>
      <c r="B13" s="3"/>
      <c r="C13" s="31">
        <v>1.16065E7</v>
      </c>
      <c r="D13" s="47" t="s">
        <v>17</v>
      </c>
      <c r="E13" s="3"/>
      <c r="F13" s="31">
        <v>1.410506E7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19</v>
      </c>
      <c r="B14" s="3"/>
      <c r="C14" s="49">
        <v>7.687063E7</v>
      </c>
      <c r="D14" s="48" t="s">
        <v>19</v>
      </c>
      <c r="E14" s="3"/>
      <c r="F14" s="49">
        <v>1.1355447E8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20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21</v>
      </c>
      <c r="B17" s="56" t="s">
        <v>127</v>
      </c>
      <c r="C17" s="56" t="s">
        <v>23</v>
      </c>
      <c r="D17" s="57" t="s">
        <v>24</v>
      </c>
      <c r="E17" s="56" t="s">
        <v>25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26</v>
      </c>
      <c r="B18" s="61">
        <f>SUMIF(F41:F57,"RED",M41:M57)</f>
        <v>3561520</v>
      </c>
      <c r="C18" s="61">
        <f>L66*C38</f>
        <v>0</v>
      </c>
      <c r="D18" s="61">
        <f>L70*D38</f>
        <v>271866.88</v>
      </c>
      <c r="E18" s="61">
        <f>SUM(B18:D18)</f>
        <v>3833386.88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27</v>
      </c>
      <c r="B19" s="61">
        <f>SUMIF(F41:F57,"BLUE",M41:M57)</f>
        <v>2305980</v>
      </c>
      <c r="C19" s="62"/>
      <c r="D19" s="62"/>
      <c r="E19" s="61">
        <f t="shared" ref="E19:E21" si="1">SUM(B19:C19)</f>
        <v>2305980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28</v>
      </c>
      <c r="B20" s="61">
        <f>SUMIF(F41:F57,"OEM",M41:M57)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29</v>
      </c>
      <c r="B21" s="61">
        <f>SUMIF(F41:F57,"NO LOGO",M41:M57)</f>
        <v>5739000</v>
      </c>
      <c r="C21" s="65"/>
      <c r="D21" s="65"/>
      <c r="E21" s="61">
        <f t="shared" si="1"/>
        <v>5739000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128</v>
      </c>
      <c r="B22" s="66">
        <f>SUM(B18:B21)</f>
        <v>11606500</v>
      </c>
      <c r="C22" s="66">
        <f t="shared" ref="C22:D22" si="2">C18</f>
        <v>0</v>
      </c>
      <c r="D22" s="66">
        <f t="shared" si="2"/>
        <v>271866.88</v>
      </c>
      <c r="E22" s="66">
        <f>SUM(E18:E21)</f>
        <v>11878366.88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31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21</v>
      </c>
      <c r="B25" s="56" t="s">
        <v>129</v>
      </c>
      <c r="C25" s="56" t="s">
        <v>23</v>
      </c>
      <c r="D25" s="56" t="s">
        <v>25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SUMIFS(K75:K179,O75:O179,"&lt;&gt;"&amp;"CONVUM",O75:O179,"&lt;&gt;"&amp;"MYOTOKU CHINA",F75:F179,"RED")</f>
        <v>1736000</v>
      </c>
      <c r="C26" s="61">
        <f>SUMIFS(K75:K179,O75:O179,"CONVUM",F75:F179,"RED")</f>
        <v>0</v>
      </c>
      <c r="D26" s="61">
        <f t="shared" ref="D26:D29" si="3">SUM(B26:C26)</f>
        <v>1736000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SUMIFS(K75:K179,O75:O179,"&lt;&gt;"&amp;"CONVUM",O75:O179,"&lt;&gt;"&amp;"MYOTOKU CHINA",F75:F179,"BLUE")</f>
        <v>12369060</v>
      </c>
      <c r="C27" s="62"/>
      <c r="D27" s="61">
        <f t="shared" si="3"/>
        <v>12369060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28</v>
      </c>
      <c r="B28" s="61">
        <f>SUMIFS(K75:K179,O75:O179,"&lt;&gt;"&amp;"CONVUM",O75:O179,"&lt;&gt;"&amp;"MYOTOKU CHINA",F75:F179,"OEM")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29</v>
      </c>
      <c r="B29" s="61">
        <f>SUMIFS(K75:K179,O75:O179,"&lt;&gt;"&amp;"CONVUM",O75:O179,"&lt;&gt;"&amp;"MYOTOKU CHINA",F75:F179,"NO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130</v>
      </c>
      <c r="B30" s="66">
        <f>SUM(B26:B29)</f>
        <v>14105060</v>
      </c>
      <c r="C30" s="66">
        <f>C26</f>
        <v>0</v>
      </c>
      <c r="D30" s="66">
        <f>SUM(D26:D29)</f>
        <v>14105060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131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21</v>
      </c>
      <c r="B33" s="56" t="s">
        <v>132</v>
      </c>
      <c r="C33" s="56" t="s">
        <v>23</v>
      </c>
      <c r="D33" s="57" t="s">
        <v>24</v>
      </c>
      <c r="E33" s="56" t="s">
        <v>25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36</v>
      </c>
      <c r="B34" s="61">
        <v>1.187541E8</v>
      </c>
      <c r="C34" s="61">
        <f>3868500*C38</f>
        <v>36259063.65</v>
      </c>
      <c r="D34" s="61">
        <f>185.6*D38</f>
        <v>271866.88</v>
      </c>
      <c r="E34" s="61">
        <f t="shared" ref="E34:E36" si="4">SUM(B34:D34)</f>
        <v>155285030.5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37</v>
      </c>
      <c r="B35" s="61">
        <v>4715000.0</v>
      </c>
      <c r="C35" s="61">
        <f>4126500*C38</f>
        <v>38677271.85</v>
      </c>
      <c r="D35" s="61">
        <f>0*D38</f>
        <v>0</v>
      </c>
      <c r="E35" s="61">
        <f t="shared" si="4"/>
        <v>43392271.85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38</v>
      </c>
      <c r="B36" s="61">
        <v>1.170135E8</v>
      </c>
      <c r="C36" s="61">
        <f>6560000*C38</f>
        <v>61486224</v>
      </c>
      <c r="D36" s="61">
        <v>0.0</v>
      </c>
      <c r="E36" s="61">
        <f t="shared" si="4"/>
        <v>178499724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133</v>
      </c>
      <c r="B37" s="66">
        <f t="shared" ref="B37:E37" si="5">SUM(B34:B36)</f>
        <v>240482600</v>
      </c>
      <c r="C37" s="66">
        <f t="shared" si="5"/>
        <v>136422559.5</v>
      </c>
      <c r="D37" s="66">
        <f t="shared" si="5"/>
        <v>271866.88</v>
      </c>
      <c r="E37" s="66">
        <f t="shared" si="5"/>
        <v>377177026.4</v>
      </c>
      <c r="F37" s="43"/>
      <c r="G37" s="58"/>
      <c r="H37" s="43"/>
      <c r="I37" s="44"/>
      <c r="J37" s="42"/>
      <c r="K37" s="75" t="s">
        <v>40</v>
      </c>
      <c r="L37" s="75" t="s">
        <v>41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42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43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44</v>
      </c>
      <c r="B40" s="82" t="s">
        <v>45</v>
      </c>
      <c r="C40" s="82" t="s">
        <v>46</v>
      </c>
      <c r="D40" s="82" t="s">
        <v>47</v>
      </c>
      <c r="E40" s="82" t="s">
        <v>48</v>
      </c>
      <c r="F40" s="82" t="s">
        <v>49</v>
      </c>
      <c r="G40" s="82" t="s">
        <v>50</v>
      </c>
      <c r="H40" s="83" t="s">
        <v>51</v>
      </c>
      <c r="I40" s="82" t="s">
        <v>52</v>
      </c>
      <c r="J40" s="84" t="s">
        <v>53</v>
      </c>
      <c r="K40" s="66" t="s">
        <v>134</v>
      </c>
      <c r="L40" s="85" t="s">
        <v>55</v>
      </c>
      <c r="M40" s="86" t="s">
        <v>56</v>
      </c>
      <c r="N40" s="86" t="s">
        <v>57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135</v>
      </c>
      <c r="B41" s="30" t="s">
        <v>136</v>
      </c>
      <c r="C41" s="30" t="s">
        <v>67</v>
      </c>
      <c r="D41" s="30" t="s">
        <v>85</v>
      </c>
      <c r="E41" s="30" t="s">
        <v>106</v>
      </c>
      <c r="F41" s="87" t="s">
        <v>63</v>
      </c>
      <c r="G41" s="87" t="s">
        <v>137</v>
      </c>
      <c r="H41" s="87" t="s">
        <v>138</v>
      </c>
      <c r="I41" s="30"/>
      <c r="J41" s="35">
        <v>40.0</v>
      </c>
      <c r="K41" s="89" t="s">
        <v>40</v>
      </c>
      <c r="L41" s="90">
        <v>5070.0</v>
      </c>
      <c r="M41" s="31">
        <v>202800.0</v>
      </c>
      <c r="N41" s="91">
        <f>SUM(M41)</f>
        <v>202800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92" t="s">
        <v>82</v>
      </c>
      <c r="B42" s="30" t="s">
        <v>139</v>
      </c>
      <c r="C42" s="30" t="s">
        <v>140</v>
      </c>
      <c r="D42" s="30" t="s">
        <v>105</v>
      </c>
      <c r="E42" s="30" t="s">
        <v>62</v>
      </c>
      <c r="F42" s="87" t="s">
        <v>63</v>
      </c>
      <c r="G42" s="87" t="s">
        <v>141</v>
      </c>
      <c r="H42" s="87" t="s">
        <v>142</v>
      </c>
      <c r="I42" s="30"/>
      <c r="J42" s="35">
        <v>20.0</v>
      </c>
      <c r="K42" s="89" t="s">
        <v>40</v>
      </c>
      <c r="L42" s="90">
        <v>5360.0</v>
      </c>
      <c r="M42" s="31">
        <v>107200.0</v>
      </c>
      <c r="N42" s="93">
        <f>SUM(M42:M45)</f>
        <v>6012000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83</v>
      </c>
      <c r="C43" s="30" t="s">
        <v>84</v>
      </c>
      <c r="D43" s="30" t="s">
        <v>85</v>
      </c>
      <c r="E43" s="30" t="s">
        <v>70</v>
      </c>
      <c r="F43" s="87" t="s">
        <v>71</v>
      </c>
      <c r="G43" s="87" t="s">
        <v>143</v>
      </c>
      <c r="H43" s="87" t="s">
        <v>144</v>
      </c>
      <c r="I43" s="30"/>
      <c r="J43" s="35">
        <v>40.0</v>
      </c>
      <c r="K43" s="89" t="s">
        <v>40</v>
      </c>
      <c r="L43" s="90">
        <v>14820.0</v>
      </c>
      <c r="M43" s="31">
        <v>592800.0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83</v>
      </c>
      <c r="C44" s="30" t="s">
        <v>84</v>
      </c>
      <c r="D44" s="30" t="s">
        <v>85</v>
      </c>
      <c r="E44" s="30" t="s">
        <v>62</v>
      </c>
      <c r="F44" s="87" t="s">
        <v>63</v>
      </c>
      <c r="G44" s="87" t="s">
        <v>145</v>
      </c>
      <c r="H44" s="87" t="s">
        <v>146</v>
      </c>
      <c r="I44" s="30"/>
      <c r="J44" s="35">
        <v>240.0</v>
      </c>
      <c r="K44" s="89" t="s">
        <v>40</v>
      </c>
      <c r="L44" s="90">
        <v>3800.0</v>
      </c>
      <c r="M44" s="31">
        <v>912000.0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147</v>
      </c>
      <c r="C45" s="30" t="s">
        <v>98</v>
      </c>
      <c r="D45" s="30" t="s">
        <v>148</v>
      </c>
      <c r="E45" s="30" t="s">
        <v>70</v>
      </c>
      <c r="F45" s="87" t="s">
        <v>29</v>
      </c>
      <c r="G45" s="87" t="s">
        <v>149</v>
      </c>
      <c r="H45" s="87" t="s">
        <v>150</v>
      </c>
      <c r="I45" s="30"/>
      <c r="J45" s="35">
        <v>20.0</v>
      </c>
      <c r="K45" s="89" t="s">
        <v>41</v>
      </c>
      <c r="L45" s="90">
        <v>220000.0</v>
      </c>
      <c r="M45" s="31">
        <v>4400000.0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88</v>
      </c>
      <c r="B46" s="148" t="s">
        <v>89</v>
      </c>
      <c r="C46" s="30" t="s">
        <v>67</v>
      </c>
      <c r="D46" s="30" t="s">
        <v>61</v>
      </c>
      <c r="E46" s="30" t="s">
        <v>62</v>
      </c>
      <c r="F46" s="87" t="s">
        <v>63</v>
      </c>
      <c r="G46" s="87" t="s">
        <v>151</v>
      </c>
      <c r="H46" s="87" t="s">
        <v>152</v>
      </c>
      <c r="I46" s="30"/>
      <c r="J46" s="35">
        <v>130.0</v>
      </c>
      <c r="K46" s="89" t="s">
        <v>40</v>
      </c>
      <c r="L46" s="90">
        <v>3140.0</v>
      </c>
      <c r="M46" s="31">
        <v>408200.0</v>
      </c>
      <c r="N46" s="91">
        <f>SUM(M46)</f>
        <v>408200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2" t="s">
        <v>153</v>
      </c>
      <c r="B47" s="148" t="s">
        <v>154</v>
      </c>
      <c r="C47" s="30" t="s">
        <v>155</v>
      </c>
      <c r="D47" s="30" t="s">
        <v>148</v>
      </c>
      <c r="E47" s="30" t="s">
        <v>106</v>
      </c>
      <c r="F47" s="87" t="s">
        <v>63</v>
      </c>
      <c r="G47" s="87" t="s">
        <v>156</v>
      </c>
      <c r="H47" s="87" t="s">
        <v>157</v>
      </c>
      <c r="I47" s="30"/>
      <c r="J47" s="35">
        <v>50.0</v>
      </c>
      <c r="K47" s="89" t="s">
        <v>40</v>
      </c>
      <c r="L47" s="90">
        <v>600.0</v>
      </c>
      <c r="M47" s="31">
        <v>30000.0</v>
      </c>
      <c r="N47" s="93">
        <f>SUM(M47:M49)</f>
        <v>1004500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64"/>
      <c r="B48" s="148" t="s">
        <v>154</v>
      </c>
      <c r="C48" s="30" t="s">
        <v>155</v>
      </c>
      <c r="D48" s="30" t="s">
        <v>148</v>
      </c>
      <c r="E48" s="30" t="s">
        <v>106</v>
      </c>
      <c r="F48" s="87" t="s">
        <v>63</v>
      </c>
      <c r="G48" s="87" t="s">
        <v>158</v>
      </c>
      <c r="H48" s="87" t="s">
        <v>159</v>
      </c>
      <c r="I48" s="30"/>
      <c r="J48" s="35">
        <v>50.0</v>
      </c>
      <c r="K48" s="89" t="s">
        <v>40</v>
      </c>
      <c r="L48" s="90">
        <v>1050.0</v>
      </c>
      <c r="M48" s="31">
        <v>52500.0</v>
      </c>
      <c r="N48" s="64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71"/>
      <c r="B49" s="30" t="s">
        <v>160</v>
      </c>
      <c r="C49" s="30" t="s">
        <v>67</v>
      </c>
      <c r="D49" s="30" t="s">
        <v>61</v>
      </c>
      <c r="E49" s="30" t="s">
        <v>70</v>
      </c>
      <c r="F49" s="87" t="s">
        <v>71</v>
      </c>
      <c r="G49" s="87" t="s">
        <v>161</v>
      </c>
      <c r="H49" s="87" t="s">
        <v>162</v>
      </c>
      <c r="I49" s="30"/>
      <c r="J49" s="35">
        <v>20.0</v>
      </c>
      <c r="K49" s="89" t="s">
        <v>40</v>
      </c>
      <c r="L49" s="90">
        <v>46100.0</v>
      </c>
      <c r="M49" s="31">
        <v>922000.0</v>
      </c>
      <c r="N49" s="71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87" t="s">
        <v>92</v>
      </c>
      <c r="B50" s="30" t="s">
        <v>93</v>
      </c>
      <c r="C50" s="30" t="s">
        <v>67</v>
      </c>
      <c r="D50" s="30" t="s">
        <v>61</v>
      </c>
      <c r="E50" s="30" t="s">
        <v>62</v>
      </c>
      <c r="F50" s="87" t="s">
        <v>63</v>
      </c>
      <c r="G50" s="87" t="s">
        <v>163</v>
      </c>
      <c r="H50" s="87" t="s">
        <v>164</v>
      </c>
      <c r="I50" s="30"/>
      <c r="J50" s="35">
        <v>6.0</v>
      </c>
      <c r="K50" s="89" t="s">
        <v>40</v>
      </c>
      <c r="L50" s="90">
        <v>30250.0</v>
      </c>
      <c r="M50" s="31">
        <v>181500.0</v>
      </c>
      <c r="N50" s="91">
        <f>SUM(M50)</f>
        <v>181500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2" t="s">
        <v>96</v>
      </c>
      <c r="B51" s="30" t="s">
        <v>165</v>
      </c>
      <c r="C51" s="30" t="s">
        <v>67</v>
      </c>
      <c r="D51" s="30" t="s">
        <v>61</v>
      </c>
      <c r="E51" s="30" t="s">
        <v>70</v>
      </c>
      <c r="F51" s="87" t="s">
        <v>29</v>
      </c>
      <c r="G51" s="87" t="s">
        <v>166</v>
      </c>
      <c r="H51" s="87" t="s">
        <v>167</v>
      </c>
      <c r="I51" s="30"/>
      <c r="J51" s="35">
        <v>5.0</v>
      </c>
      <c r="K51" s="89" t="s">
        <v>40</v>
      </c>
      <c r="L51" s="90">
        <v>267800.0</v>
      </c>
      <c r="M51" s="31">
        <v>1339000.0</v>
      </c>
      <c r="N51" s="93">
        <f>SUM(M51:M52)</f>
        <v>1583200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71"/>
      <c r="B52" s="30" t="s">
        <v>168</v>
      </c>
      <c r="C52" s="30" t="s">
        <v>98</v>
      </c>
      <c r="D52" s="30" t="s">
        <v>85</v>
      </c>
      <c r="E52" s="30" t="s">
        <v>62</v>
      </c>
      <c r="F52" s="87" t="s">
        <v>63</v>
      </c>
      <c r="G52" s="87" t="s">
        <v>169</v>
      </c>
      <c r="H52" s="87" t="s">
        <v>170</v>
      </c>
      <c r="I52" s="30"/>
      <c r="J52" s="35">
        <v>1.0</v>
      </c>
      <c r="K52" s="89" t="s">
        <v>40</v>
      </c>
      <c r="L52" s="90">
        <v>244200.0</v>
      </c>
      <c r="M52" s="31">
        <v>244200.0</v>
      </c>
      <c r="N52" s="71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87" t="s">
        <v>99</v>
      </c>
      <c r="B53" s="30" t="s">
        <v>171</v>
      </c>
      <c r="C53" s="30" t="s">
        <v>172</v>
      </c>
      <c r="D53" s="30" t="s">
        <v>105</v>
      </c>
      <c r="E53" s="30" t="s">
        <v>62</v>
      </c>
      <c r="F53" s="87" t="s">
        <v>71</v>
      </c>
      <c r="G53" s="87" t="s">
        <v>173</v>
      </c>
      <c r="H53" s="87" t="s">
        <v>174</v>
      </c>
      <c r="I53" s="30"/>
      <c r="J53" s="35">
        <v>100.0</v>
      </c>
      <c r="K53" s="89" t="s">
        <v>41</v>
      </c>
      <c r="L53" s="90">
        <v>17360.0</v>
      </c>
      <c r="M53" s="31">
        <v>1736000.0</v>
      </c>
      <c r="N53" s="91">
        <f>SUM(M53)</f>
        <v>1736000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2" t="s">
        <v>175</v>
      </c>
      <c r="B54" s="30" t="s">
        <v>176</v>
      </c>
      <c r="C54" s="30" t="s">
        <v>177</v>
      </c>
      <c r="D54" s="30" t="s">
        <v>148</v>
      </c>
      <c r="E54" s="30" t="s">
        <v>70</v>
      </c>
      <c r="F54" s="87" t="s">
        <v>71</v>
      </c>
      <c r="G54" s="87" t="s">
        <v>178</v>
      </c>
      <c r="H54" s="87" t="s">
        <v>179</v>
      </c>
      <c r="I54" s="30"/>
      <c r="J54" s="35">
        <v>20.0</v>
      </c>
      <c r="K54" s="89" t="s">
        <v>40</v>
      </c>
      <c r="L54" s="90">
        <v>4990.0</v>
      </c>
      <c r="M54" s="31">
        <v>99800.0</v>
      </c>
      <c r="N54" s="93">
        <f>SUM(M54:M55)</f>
        <v>215200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71"/>
      <c r="B55" s="30" t="s">
        <v>176</v>
      </c>
      <c r="C55" s="30" t="s">
        <v>177</v>
      </c>
      <c r="D55" s="30" t="s">
        <v>148</v>
      </c>
      <c r="E55" s="30" t="s">
        <v>70</v>
      </c>
      <c r="F55" s="87" t="s">
        <v>71</v>
      </c>
      <c r="G55" s="87" t="s">
        <v>180</v>
      </c>
      <c r="H55" s="87" t="s">
        <v>181</v>
      </c>
      <c r="I55" s="30"/>
      <c r="J55" s="35">
        <v>20.0</v>
      </c>
      <c r="K55" s="89" t="s">
        <v>40</v>
      </c>
      <c r="L55" s="90">
        <v>5770.0</v>
      </c>
      <c r="M55" s="31">
        <v>115400.0</v>
      </c>
      <c r="N55" s="71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2" t="s">
        <v>182</v>
      </c>
      <c r="B56" s="30" t="s">
        <v>183</v>
      </c>
      <c r="C56" s="30" t="s">
        <v>184</v>
      </c>
      <c r="D56" s="30" t="s">
        <v>61</v>
      </c>
      <c r="E56" s="30" t="s">
        <v>185</v>
      </c>
      <c r="F56" s="87" t="s">
        <v>63</v>
      </c>
      <c r="G56" s="87" t="s">
        <v>186</v>
      </c>
      <c r="H56" s="87" t="s">
        <v>187</v>
      </c>
      <c r="I56" s="30"/>
      <c r="J56" s="35">
        <v>6.0</v>
      </c>
      <c r="K56" s="89" t="s">
        <v>40</v>
      </c>
      <c r="L56" s="90">
        <v>27930.0</v>
      </c>
      <c r="M56" s="31">
        <v>167580.0</v>
      </c>
      <c r="N56" s="93">
        <f>SUM(M56:M57)</f>
        <v>263100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188</v>
      </c>
      <c r="C57" s="30" t="s">
        <v>189</v>
      </c>
      <c r="D57" s="30" t="s">
        <v>61</v>
      </c>
      <c r="E57" s="30" t="s">
        <v>70</v>
      </c>
      <c r="F57" s="87" t="s">
        <v>71</v>
      </c>
      <c r="G57" s="87" t="s">
        <v>190</v>
      </c>
      <c r="H57" s="87" t="s">
        <v>191</v>
      </c>
      <c r="I57" s="30"/>
      <c r="J57" s="35">
        <v>6.0</v>
      </c>
      <c r="K57" s="89" t="s">
        <v>40</v>
      </c>
      <c r="L57" s="90">
        <v>15920.0</v>
      </c>
      <c r="M57" s="31">
        <v>95520.0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5" t="str">
        <f>MID(CELL("filename",$A$1),FIND("]",CELL("filename",$A$1))+1,100)&amp;" TOTAL"</f>
        <v>#VALUE!</v>
      </c>
      <c r="B58" s="96"/>
      <c r="C58" s="96"/>
      <c r="D58" s="96"/>
      <c r="E58" s="96"/>
      <c r="F58" s="96"/>
      <c r="G58" s="97"/>
      <c r="H58" s="97"/>
      <c r="I58" s="96"/>
      <c r="J58" s="96"/>
      <c r="K58" s="98"/>
      <c r="L58" s="99"/>
      <c r="M58" s="66">
        <f t="shared" ref="M58:N58" si="6">SUM(M41:M57)</f>
        <v>11606500</v>
      </c>
      <c r="N58" s="100">
        <f t="shared" si="6"/>
        <v>11606500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1"/>
      <c r="B59" s="102"/>
      <c r="C59" s="102"/>
      <c r="D59" s="102"/>
      <c r="E59" s="102"/>
      <c r="F59" s="102"/>
      <c r="G59" s="102"/>
      <c r="H59" s="103"/>
      <c r="I59" s="102"/>
      <c r="J59" s="102"/>
      <c r="K59" s="102"/>
      <c r="L59" s="104"/>
      <c r="M59" s="105"/>
      <c r="N59" s="10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1" t="s">
        <v>109</v>
      </c>
      <c r="B60" s="106"/>
      <c r="C60" s="107"/>
      <c r="D60" s="107"/>
      <c r="E60" s="107"/>
      <c r="F60" s="107"/>
      <c r="G60" s="107"/>
      <c r="H60" s="108"/>
      <c r="I60" s="107"/>
      <c r="J60" s="107"/>
      <c r="K60" s="43"/>
      <c r="L60" s="109"/>
      <c r="M60" s="43"/>
      <c r="N60" s="109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1"/>
      <c r="B61" s="106"/>
      <c r="C61" s="107"/>
      <c r="D61" s="107"/>
      <c r="E61" s="107"/>
      <c r="F61" s="107"/>
      <c r="G61" s="107"/>
      <c r="H61" s="108"/>
      <c r="I61" s="107"/>
      <c r="J61" s="107"/>
      <c r="K61" s="43"/>
      <c r="L61" s="109"/>
      <c r="M61" s="43"/>
      <c r="N61" s="109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10" t="s">
        <v>110</v>
      </c>
      <c r="B62" s="67"/>
      <c r="C62" s="67"/>
      <c r="D62" s="101"/>
      <c r="E62" s="67"/>
      <c r="F62" s="67"/>
      <c r="G62" s="67"/>
      <c r="H62" s="111"/>
      <c r="I62" s="112"/>
      <c r="J62" s="112"/>
      <c r="K62" s="112"/>
      <c r="L62" s="112"/>
      <c r="M62" s="68"/>
      <c r="N62" s="113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44</v>
      </c>
      <c r="B63" s="57" t="s">
        <v>45</v>
      </c>
      <c r="C63" s="57" t="s">
        <v>46</v>
      </c>
      <c r="D63" s="57" t="s">
        <v>192</v>
      </c>
      <c r="E63" s="57" t="s">
        <v>48</v>
      </c>
      <c r="F63" s="57" t="s">
        <v>112</v>
      </c>
      <c r="G63" s="57" t="s">
        <v>50</v>
      </c>
      <c r="H63" s="57" t="s">
        <v>51</v>
      </c>
      <c r="I63" s="57" t="s">
        <v>53</v>
      </c>
      <c r="J63" s="57" t="s">
        <v>113</v>
      </c>
      <c r="K63" s="57" t="s">
        <v>114</v>
      </c>
      <c r="L63" s="114" t="s">
        <v>115</v>
      </c>
      <c r="M63" s="114" t="s">
        <v>116</v>
      </c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92"/>
      <c r="B64" s="117"/>
      <c r="C64" s="88"/>
      <c r="D64" s="30"/>
      <c r="E64" s="30"/>
      <c r="F64" s="87"/>
      <c r="G64" s="87"/>
      <c r="H64" s="87"/>
      <c r="I64" s="34"/>
      <c r="J64" s="118"/>
      <c r="K64" s="118"/>
      <c r="L64" s="119"/>
      <c r="M64" s="120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71"/>
      <c r="B65" s="71"/>
      <c r="C65" s="88"/>
      <c r="D65" s="30"/>
      <c r="E65" s="30"/>
      <c r="F65" s="87"/>
      <c r="G65" s="87"/>
      <c r="H65" s="87"/>
      <c r="I65" s="31"/>
      <c r="J65" s="118"/>
      <c r="K65" s="118"/>
      <c r="L65" s="64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121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2">
        <f>SUM(K64:K65)</f>
        <v>0</v>
      </c>
      <c r="L66" s="123">
        <f>SUM(L64)</f>
        <v>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1"/>
      <c r="B67" s="67"/>
      <c r="C67" s="67"/>
      <c r="D67" s="101"/>
      <c r="E67" s="67"/>
      <c r="F67" s="67"/>
      <c r="G67" s="67"/>
      <c r="H67" s="111"/>
      <c r="I67" s="112"/>
      <c r="J67" s="112"/>
      <c r="K67" s="112"/>
      <c r="L67" s="112"/>
      <c r="M67" s="68"/>
      <c r="N67" s="113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customHeight="1">
      <c r="A68" s="57" t="s">
        <v>44</v>
      </c>
      <c r="B68" s="57" t="s">
        <v>45</v>
      </c>
      <c r="C68" s="57" t="s">
        <v>46</v>
      </c>
      <c r="D68" s="57" t="s">
        <v>193</v>
      </c>
      <c r="E68" s="57" t="s">
        <v>48</v>
      </c>
      <c r="F68" s="57" t="s">
        <v>118</v>
      </c>
      <c r="G68" s="57" t="s">
        <v>50</v>
      </c>
      <c r="H68" s="57" t="s">
        <v>51</v>
      </c>
      <c r="I68" s="114" t="s">
        <v>53</v>
      </c>
      <c r="J68" s="114" t="s">
        <v>119</v>
      </c>
      <c r="K68" s="124" t="s">
        <v>120</v>
      </c>
      <c r="L68" s="125" t="s">
        <v>121</v>
      </c>
      <c r="M68" s="124" t="s">
        <v>116</v>
      </c>
      <c r="N68" s="58"/>
      <c r="O68" s="115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6.5" customHeight="1">
      <c r="A69" s="87" t="s">
        <v>24</v>
      </c>
      <c r="B69" s="30" t="s">
        <v>24</v>
      </c>
      <c r="C69" s="30" t="s">
        <v>194</v>
      </c>
      <c r="D69" s="30" t="s">
        <v>85</v>
      </c>
      <c r="E69" s="30" t="s">
        <v>195</v>
      </c>
      <c r="F69" s="87" t="s">
        <v>71</v>
      </c>
      <c r="G69" s="87" t="s">
        <v>196</v>
      </c>
      <c r="H69" s="87" t="s">
        <v>197</v>
      </c>
      <c r="I69" s="126" t="s">
        <v>198</v>
      </c>
      <c r="J69" s="35">
        <v>18.56</v>
      </c>
      <c r="K69" s="127">
        <f>I69*J69</f>
        <v>185.6</v>
      </c>
      <c r="L69" s="128">
        <f>SUM(K69)</f>
        <v>185.6</v>
      </c>
      <c r="M69" s="31"/>
      <c r="N69" s="58"/>
      <c r="O69" s="115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6.5" customHeight="1">
      <c r="A70" s="129" t="str">
        <f>A58</f>
        <v>#VALUE!</v>
      </c>
      <c r="B70" s="80"/>
      <c r="C70" s="80"/>
      <c r="D70" s="80"/>
      <c r="E70" s="80"/>
      <c r="F70" s="80"/>
      <c r="G70" s="80"/>
      <c r="H70" s="80"/>
      <c r="I70" s="80"/>
      <c r="J70" s="130"/>
      <c r="K70" s="131">
        <f t="shared" ref="K70:L70" si="7">SUM(K69)</f>
        <v>185.6</v>
      </c>
      <c r="L70" s="131">
        <f t="shared" si="7"/>
        <v>185.6</v>
      </c>
      <c r="M70" s="132"/>
      <c r="N70" s="44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133"/>
      <c r="B71" s="134"/>
      <c r="C71" s="112"/>
      <c r="D71" s="112"/>
      <c r="E71" s="134"/>
      <c r="F71" s="134"/>
      <c r="G71" s="134"/>
      <c r="H71" s="111"/>
      <c r="I71" s="112"/>
      <c r="J71" s="112"/>
      <c r="K71" s="112"/>
      <c r="L71" s="112"/>
      <c r="M71" s="134"/>
      <c r="N71" s="11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0.75" customHeight="1">
      <c r="A72" s="133"/>
      <c r="B72" s="134"/>
      <c r="C72" s="112"/>
      <c r="D72" s="112"/>
      <c r="E72" s="134"/>
      <c r="F72" s="134"/>
      <c r="G72" s="134"/>
      <c r="H72" s="111"/>
      <c r="I72" s="112"/>
      <c r="J72" s="112"/>
      <c r="K72" s="112"/>
      <c r="L72" s="112"/>
      <c r="M72" s="134"/>
      <c r="N72" s="11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hidden="1" customHeight="1">
      <c r="A73" s="133"/>
      <c r="B73" s="134"/>
      <c r="C73" s="112"/>
      <c r="D73" s="112"/>
      <c r="E73" s="134"/>
      <c r="F73" s="134"/>
      <c r="G73" s="134"/>
      <c r="H73" s="111"/>
      <c r="I73" s="112"/>
      <c r="J73" s="112"/>
      <c r="K73" s="112"/>
      <c r="L73" s="112"/>
      <c r="M73" s="134"/>
      <c r="N73" s="11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hidden="1" customHeight="1">
      <c r="A74" s="133"/>
      <c r="B74" s="134"/>
      <c r="C74" s="112"/>
      <c r="D74" s="112"/>
      <c r="E74" s="134"/>
      <c r="F74" s="134"/>
      <c r="G74" s="134"/>
      <c r="H74" s="111"/>
      <c r="I74" s="112"/>
      <c r="J74" s="112"/>
      <c r="K74" s="112"/>
      <c r="L74" s="112"/>
      <c r="M74" s="134"/>
      <c r="N74" s="11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2" t="s">
        <v>199</v>
      </c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2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2"/>
      <c r="B77" s="135"/>
      <c r="C77" s="136"/>
      <c r="D77" s="136"/>
      <c r="E77" s="135"/>
      <c r="F77" s="136"/>
      <c r="G77" s="135"/>
      <c r="H77" s="137"/>
      <c r="I77" s="136"/>
      <c r="J77" s="136"/>
      <c r="K77" s="136"/>
      <c r="L77" s="136"/>
      <c r="M77" s="135"/>
      <c r="N77" s="138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2"/>
      <c r="B78" s="135"/>
      <c r="C78" s="136"/>
      <c r="D78" s="136"/>
      <c r="E78" s="135"/>
      <c r="F78" s="136"/>
      <c r="G78" s="135"/>
      <c r="H78" s="137"/>
      <c r="I78" s="136"/>
      <c r="J78" s="136"/>
      <c r="K78" s="136"/>
      <c r="L78" s="136"/>
      <c r="M78" s="135"/>
      <c r="N78" s="138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2"/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customHeight="1">
      <c r="A80" s="79" t="s">
        <v>123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1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56" t="s">
        <v>44</v>
      </c>
      <c r="B81" s="56" t="s">
        <v>45</v>
      </c>
      <c r="C81" s="56" t="s">
        <v>46</v>
      </c>
      <c r="D81" s="56" t="s">
        <v>200</v>
      </c>
      <c r="E81" s="56" t="s">
        <v>48</v>
      </c>
      <c r="F81" s="56" t="s">
        <v>49</v>
      </c>
      <c r="G81" s="56" t="s">
        <v>50</v>
      </c>
      <c r="H81" s="57" t="s">
        <v>51</v>
      </c>
      <c r="I81" s="139" t="s">
        <v>53</v>
      </c>
      <c r="J81" s="139" t="s">
        <v>55</v>
      </c>
      <c r="K81" s="124" t="s">
        <v>125</v>
      </c>
      <c r="L81" s="125" t="s">
        <v>57</v>
      </c>
      <c r="M81" s="140" t="s">
        <v>116</v>
      </c>
      <c r="N81" s="3"/>
      <c r="O81" s="39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6.5" customHeight="1">
      <c r="A82" s="87" t="s">
        <v>201</v>
      </c>
      <c r="B82" s="88" t="s">
        <v>202</v>
      </c>
      <c r="C82" s="30" t="s">
        <v>67</v>
      </c>
      <c r="D82" s="30" t="s">
        <v>105</v>
      </c>
      <c r="E82" s="30" t="s">
        <v>185</v>
      </c>
      <c r="F82" s="87" t="s">
        <v>63</v>
      </c>
      <c r="G82" s="87" t="s">
        <v>203</v>
      </c>
      <c r="H82" s="87" t="s">
        <v>204</v>
      </c>
      <c r="I82" s="34">
        <v>4.0</v>
      </c>
      <c r="J82" s="31">
        <v>364000.0</v>
      </c>
      <c r="K82" s="141">
        <v>1456000.0</v>
      </c>
      <c r="L82" s="91">
        <f t="shared" ref="L82:L85" si="8">SUM(K82)</f>
        <v>1456000</v>
      </c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82</v>
      </c>
      <c r="B83" s="88" t="s">
        <v>139</v>
      </c>
      <c r="C83" s="30" t="s">
        <v>140</v>
      </c>
      <c r="D83" s="30" t="s">
        <v>105</v>
      </c>
      <c r="E83" s="30" t="s">
        <v>185</v>
      </c>
      <c r="F83" s="87" t="s">
        <v>63</v>
      </c>
      <c r="G83" s="87" t="s">
        <v>205</v>
      </c>
      <c r="H83" s="87" t="s">
        <v>206</v>
      </c>
      <c r="I83" s="34">
        <v>2.0</v>
      </c>
      <c r="J83" s="31">
        <v>875100.0</v>
      </c>
      <c r="K83" s="141">
        <v>1750200.0</v>
      </c>
      <c r="L83" s="91">
        <f t="shared" si="8"/>
        <v>1750200</v>
      </c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207</v>
      </c>
      <c r="B84" s="144" t="s">
        <v>208</v>
      </c>
      <c r="C84" s="30" t="s">
        <v>67</v>
      </c>
      <c r="D84" s="30" t="s">
        <v>105</v>
      </c>
      <c r="E84" s="30" t="s">
        <v>106</v>
      </c>
      <c r="F84" s="87" t="s">
        <v>63</v>
      </c>
      <c r="G84" s="87" t="s">
        <v>209</v>
      </c>
      <c r="H84" s="87" t="s">
        <v>210</v>
      </c>
      <c r="I84" s="34">
        <v>9000.0</v>
      </c>
      <c r="J84" s="31">
        <v>920.0</v>
      </c>
      <c r="K84" s="141">
        <v>8280000.0</v>
      </c>
      <c r="L84" s="91">
        <f t="shared" si="8"/>
        <v>8280000</v>
      </c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87" t="s">
        <v>92</v>
      </c>
      <c r="B85" s="144" t="s">
        <v>93</v>
      </c>
      <c r="C85" s="30" t="s">
        <v>67</v>
      </c>
      <c r="D85" s="30" t="s">
        <v>61</v>
      </c>
      <c r="E85" s="30" t="s">
        <v>62</v>
      </c>
      <c r="F85" s="87" t="s">
        <v>63</v>
      </c>
      <c r="G85" s="87" t="s">
        <v>163</v>
      </c>
      <c r="H85" s="87" t="s">
        <v>164</v>
      </c>
      <c r="I85" s="34">
        <v>6.0</v>
      </c>
      <c r="J85" s="31">
        <v>30250.0</v>
      </c>
      <c r="K85" s="141">
        <v>181500.0</v>
      </c>
      <c r="L85" s="91">
        <f t="shared" si="8"/>
        <v>181500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92" t="s">
        <v>96</v>
      </c>
      <c r="B86" s="88" t="s">
        <v>211</v>
      </c>
      <c r="C86" s="30" t="s">
        <v>189</v>
      </c>
      <c r="D86" s="30" t="s">
        <v>105</v>
      </c>
      <c r="E86" s="30" t="s">
        <v>185</v>
      </c>
      <c r="F86" s="87" t="s">
        <v>63</v>
      </c>
      <c r="G86" s="87" t="s">
        <v>212</v>
      </c>
      <c r="H86" s="87" t="s">
        <v>213</v>
      </c>
      <c r="I86" s="34">
        <v>26.0</v>
      </c>
      <c r="J86" s="31">
        <v>12210.0</v>
      </c>
      <c r="K86" s="141">
        <v>317460.0</v>
      </c>
      <c r="L86" s="93">
        <f>SUM(K86:K88)</f>
        <v>701360</v>
      </c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88" t="s">
        <v>214</v>
      </c>
      <c r="C87" s="30" t="s">
        <v>189</v>
      </c>
      <c r="D87" s="30" t="s">
        <v>61</v>
      </c>
      <c r="E87" s="30" t="s">
        <v>185</v>
      </c>
      <c r="F87" s="87" t="s">
        <v>63</v>
      </c>
      <c r="G87" s="87" t="s">
        <v>215</v>
      </c>
      <c r="H87" s="87" t="s">
        <v>216</v>
      </c>
      <c r="I87" s="34">
        <v>1.0</v>
      </c>
      <c r="J87" s="31">
        <v>139700.0</v>
      </c>
      <c r="K87" s="141">
        <v>139700.0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88" t="s">
        <v>168</v>
      </c>
      <c r="C88" s="30" t="s">
        <v>98</v>
      </c>
      <c r="D88" s="30" t="s">
        <v>85</v>
      </c>
      <c r="E88" s="30" t="s">
        <v>62</v>
      </c>
      <c r="F88" s="87" t="s">
        <v>63</v>
      </c>
      <c r="G88" s="87" t="s">
        <v>169</v>
      </c>
      <c r="H88" s="87" t="s">
        <v>170</v>
      </c>
      <c r="I88" s="34">
        <v>1.0</v>
      </c>
      <c r="J88" s="31">
        <v>244200.0</v>
      </c>
      <c r="K88" s="141">
        <v>244200.0</v>
      </c>
      <c r="L88" s="71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99</v>
      </c>
      <c r="B89" s="88" t="s">
        <v>171</v>
      </c>
      <c r="C89" s="30" t="s">
        <v>172</v>
      </c>
      <c r="D89" s="30" t="s">
        <v>105</v>
      </c>
      <c r="E89" s="30" t="s">
        <v>62</v>
      </c>
      <c r="F89" s="87" t="s">
        <v>71</v>
      </c>
      <c r="G89" s="87" t="s">
        <v>173</v>
      </c>
      <c r="H89" s="87" t="s">
        <v>174</v>
      </c>
      <c r="I89" s="34">
        <v>100.0</v>
      </c>
      <c r="J89" s="31">
        <v>17360.0</v>
      </c>
      <c r="K89" s="141">
        <v>1736000.0</v>
      </c>
      <c r="L89" s="91">
        <f>SUM(K89)</f>
        <v>1736000</v>
      </c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145"/>
      <c r="B90" s="30"/>
      <c r="C90" s="30"/>
      <c r="D90" s="30"/>
      <c r="E90" s="30"/>
      <c r="F90" s="87"/>
      <c r="G90" s="87"/>
      <c r="H90" s="87"/>
      <c r="I90" s="34"/>
      <c r="J90" s="31"/>
      <c r="K90" s="141"/>
      <c r="L90" s="34"/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hidden="1" customHeight="1">
      <c r="A91" s="145"/>
      <c r="B91" s="30"/>
      <c r="C91" s="30"/>
      <c r="D91" s="30"/>
      <c r="E91" s="30"/>
      <c r="F91" s="87"/>
      <c r="G91" s="87"/>
      <c r="H91" s="87"/>
      <c r="I91" s="34"/>
      <c r="J91" s="31"/>
      <c r="K91" s="141"/>
      <c r="L91" s="34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145"/>
      <c r="B92" s="30"/>
      <c r="C92" s="30"/>
      <c r="D92" s="30"/>
      <c r="E92" s="30"/>
      <c r="F92" s="87"/>
      <c r="G92" s="87"/>
      <c r="H92" s="87"/>
      <c r="I92" s="34"/>
      <c r="J92" s="31"/>
      <c r="K92" s="141"/>
      <c r="L92" s="3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145"/>
      <c r="B93" s="30"/>
      <c r="C93" s="30"/>
      <c r="D93" s="30"/>
      <c r="E93" s="30"/>
      <c r="F93" s="87"/>
      <c r="G93" s="87"/>
      <c r="H93" s="87"/>
      <c r="I93" s="34"/>
      <c r="J93" s="31"/>
      <c r="K93" s="141"/>
      <c r="L93" s="3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145"/>
      <c r="B94" s="30"/>
      <c r="C94" s="30"/>
      <c r="D94" s="30"/>
      <c r="E94" s="30"/>
      <c r="F94" s="87"/>
      <c r="G94" s="87"/>
      <c r="H94" s="87"/>
      <c r="I94" s="34"/>
      <c r="J94" s="31"/>
      <c r="K94" s="141"/>
      <c r="L94" s="3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145"/>
      <c r="B95" s="30"/>
      <c r="C95" s="30"/>
      <c r="D95" s="30"/>
      <c r="E95" s="30"/>
      <c r="F95" s="87"/>
      <c r="G95" s="87"/>
      <c r="H95" s="87"/>
      <c r="I95" s="34"/>
      <c r="J95" s="31"/>
      <c r="K95" s="141"/>
      <c r="L95" s="3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145"/>
      <c r="B96" s="30"/>
      <c r="C96" s="30"/>
      <c r="D96" s="30"/>
      <c r="E96" s="30"/>
      <c r="F96" s="87"/>
      <c r="G96" s="87"/>
      <c r="H96" s="87"/>
      <c r="I96" s="34"/>
      <c r="J96" s="31"/>
      <c r="K96" s="141"/>
      <c r="L96" s="3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145"/>
      <c r="B97" s="30"/>
      <c r="C97" s="30"/>
      <c r="D97" s="30"/>
      <c r="E97" s="30"/>
      <c r="F97" s="87"/>
      <c r="G97" s="87"/>
      <c r="H97" s="87"/>
      <c r="I97" s="34"/>
      <c r="J97" s="31"/>
      <c r="K97" s="141"/>
      <c r="L97" s="3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145"/>
      <c r="B98" s="30"/>
      <c r="C98" s="30"/>
      <c r="D98" s="30"/>
      <c r="E98" s="30"/>
      <c r="F98" s="87"/>
      <c r="G98" s="87"/>
      <c r="H98" s="87"/>
      <c r="I98" s="34"/>
      <c r="J98" s="31"/>
      <c r="K98" s="141"/>
      <c r="L98" s="3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145"/>
      <c r="B99" s="30"/>
      <c r="C99" s="30"/>
      <c r="D99" s="30"/>
      <c r="E99" s="30"/>
      <c r="F99" s="87"/>
      <c r="G99" s="87"/>
      <c r="H99" s="87"/>
      <c r="I99" s="34"/>
      <c r="J99" s="31"/>
      <c r="K99" s="141"/>
      <c r="L99" s="3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146"/>
      <c r="B100" s="30"/>
      <c r="C100" s="30"/>
      <c r="D100" s="30"/>
      <c r="E100" s="30"/>
      <c r="F100" s="87"/>
      <c r="G100" s="87"/>
      <c r="H100" s="87"/>
      <c r="I100" s="34"/>
      <c r="J100" s="31"/>
      <c r="K100" s="141"/>
      <c r="L100" s="3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92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147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87"/>
      <c r="B104" s="148"/>
      <c r="C104" s="30"/>
      <c r="D104" s="30"/>
      <c r="E104" s="30"/>
      <c r="F104" s="87"/>
      <c r="G104" s="87"/>
      <c r="H104" s="87"/>
      <c r="I104" s="34"/>
      <c r="J104" s="31"/>
      <c r="K104" s="31"/>
      <c r="L104" s="91"/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87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91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87"/>
      <c r="B106" s="148"/>
      <c r="C106" s="30"/>
      <c r="D106" s="30"/>
      <c r="E106" s="30"/>
      <c r="F106" s="87"/>
      <c r="G106" s="87"/>
      <c r="H106" s="87"/>
      <c r="I106" s="34"/>
      <c r="J106" s="31"/>
      <c r="K106" s="31"/>
      <c r="L106" s="91"/>
      <c r="M106" s="142"/>
      <c r="N106" s="143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hidden="1" customHeight="1">
      <c r="A107" s="92"/>
      <c r="B107" s="30"/>
      <c r="C107" s="30"/>
      <c r="D107" s="30"/>
      <c r="E107" s="30"/>
      <c r="F107" s="87"/>
      <c r="G107" s="87"/>
      <c r="H107" s="87"/>
      <c r="I107" s="34"/>
      <c r="J107" s="31"/>
      <c r="K107" s="31"/>
      <c r="L107" s="93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42"/>
      <c r="N108" s="143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42"/>
      <c r="N109" s="143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hidden="1" customHeight="1">
      <c r="A110" s="64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64"/>
      <c r="M110" s="142"/>
      <c r="N110" s="143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hidden="1" customHeight="1">
      <c r="A111" s="64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64"/>
      <c r="M111" s="142"/>
      <c r="N111" s="143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hidden="1" customHeight="1">
      <c r="A112" s="64"/>
      <c r="B112" s="149"/>
      <c r="C112" s="30"/>
      <c r="D112" s="30"/>
      <c r="E112" s="30"/>
      <c r="F112" s="87"/>
      <c r="G112" s="87"/>
      <c r="H112" s="87"/>
      <c r="I112" s="34"/>
      <c r="J112" s="31"/>
      <c r="K112" s="31"/>
      <c r="L112" s="64"/>
      <c r="M112" s="142"/>
      <c r="N112" s="143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hidden="1" customHeight="1">
      <c r="A113" s="71"/>
      <c r="B113" s="149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42"/>
      <c r="N113" s="143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hidden="1" customHeight="1">
      <c r="A114" s="92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3"/>
      <c r="M114" s="142"/>
      <c r="N114" s="143"/>
      <c r="O114" s="45"/>
      <c r="P114" s="46"/>
      <c r="Q114" s="46"/>
      <c r="R114" s="46"/>
      <c r="S114" s="45"/>
      <c r="T114" s="45"/>
      <c r="U114" s="45"/>
      <c r="V114" s="45"/>
      <c r="W114" s="45"/>
      <c r="X114" s="45"/>
      <c r="Y114" s="45"/>
      <c r="Z114" s="45"/>
    </row>
    <row r="115" ht="16.5" hidden="1" customHeight="1">
      <c r="A115" s="71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71"/>
      <c r="M115" s="142"/>
      <c r="N115" s="143"/>
      <c r="O115" s="45"/>
      <c r="P115" s="46"/>
      <c r="Q115" s="46"/>
      <c r="R115" s="46"/>
      <c r="S115" s="45"/>
      <c r="T115" s="45"/>
      <c r="U115" s="45"/>
      <c r="V115" s="45"/>
      <c r="W115" s="45"/>
      <c r="X115" s="45"/>
      <c r="Y115" s="45"/>
      <c r="Z115" s="45"/>
    </row>
    <row r="116" ht="16.5" hidden="1" customHeight="1">
      <c r="A116" s="92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93"/>
      <c r="M116" s="142"/>
      <c r="N116" s="143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64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64"/>
      <c r="M117" s="142"/>
      <c r="N117" s="143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71"/>
      <c r="B118" s="30"/>
      <c r="C118" s="30"/>
      <c r="D118" s="30"/>
      <c r="E118" s="30"/>
      <c r="F118" s="87"/>
      <c r="G118" s="87"/>
      <c r="H118" s="87"/>
      <c r="I118" s="34"/>
      <c r="J118" s="31"/>
      <c r="K118" s="31"/>
      <c r="L118" s="71"/>
      <c r="M118" s="142"/>
      <c r="N118" s="143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92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93"/>
      <c r="M119" s="142"/>
      <c r="N119" s="143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64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64"/>
      <c r="M120" s="142"/>
      <c r="N120" s="143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71"/>
      <c r="B121" s="148"/>
      <c r="C121" s="30"/>
      <c r="D121" s="30"/>
      <c r="E121" s="30"/>
      <c r="F121" s="87"/>
      <c r="G121" s="87"/>
      <c r="H121" s="87"/>
      <c r="I121" s="34"/>
      <c r="J121" s="31"/>
      <c r="K121" s="31"/>
      <c r="L121" s="71"/>
      <c r="M121" s="142"/>
      <c r="N121" s="143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92"/>
      <c r="B122" s="148"/>
      <c r="C122" s="30"/>
      <c r="D122" s="30"/>
      <c r="E122" s="30"/>
      <c r="F122" s="87"/>
      <c r="G122" s="87"/>
      <c r="H122" s="87"/>
      <c r="I122" s="34"/>
      <c r="J122" s="31"/>
      <c r="K122" s="31"/>
      <c r="L122" s="93"/>
      <c r="M122" s="142"/>
      <c r="N122" s="143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42"/>
      <c r="N124" s="143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42"/>
      <c r="N126" s="143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64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64"/>
      <c r="M127" s="142"/>
      <c r="N127" s="143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6.5" hidden="1" customHeight="1">
      <c r="A128" s="64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64"/>
      <c r="M128" s="142"/>
      <c r="N128" s="143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6.5" hidden="1" customHeight="1">
      <c r="A129" s="64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64"/>
      <c r="M129" s="142"/>
      <c r="N129" s="143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42"/>
      <c r="N130" s="143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42"/>
      <c r="N131" s="143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6.5" hidden="1" customHeight="1">
      <c r="A132" s="71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71"/>
      <c r="M132" s="142"/>
      <c r="N132" s="143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7.25" customHeight="1">
      <c r="A133" s="150" t="str">
        <f>MID(CELL("filename",$A$1),FIND("]",CELL("filename",$A$1))+1,100)&amp;" TOTAL"</f>
        <v>#VALUE!</v>
      </c>
      <c r="B133" s="151"/>
      <c r="C133" s="151"/>
      <c r="D133" s="151"/>
      <c r="E133" s="151"/>
      <c r="F133" s="97"/>
      <c r="G133" s="97"/>
      <c r="H133" s="97"/>
      <c r="I133" s="151"/>
      <c r="J133" s="152"/>
      <c r="K133" s="100">
        <f t="shared" ref="K133:L133" si="9">SUM(K82:K132)</f>
        <v>14105060</v>
      </c>
      <c r="L133" s="100">
        <f t="shared" si="9"/>
        <v>14105060</v>
      </c>
      <c r="M133" s="153"/>
      <c r="N133" s="15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70"/>
      <c r="I139" s="42"/>
      <c r="J139" s="42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155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55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2">
    <mergeCell ref="A51:A52"/>
    <mergeCell ref="N51:N52"/>
    <mergeCell ref="A54:A55"/>
    <mergeCell ref="N54:N55"/>
    <mergeCell ref="A56:A57"/>
    <mergeCell ref="N56:N57"/>
    <mergeCell ref="A64:A65"/>
    <mergeCell ref="A66:J66"/>
    <mergeCell ref="A70:J70"/>
    <mergeCell ref="A80:N80"/>
    <mergeCell ref="M81:N81"/>
    <mergeCell ref="A86:A88"/>
    <mergeCell ref="L86:L88"/>
    <mergeCell ref="L101:L103"/>
    <mergeCell ref="L114:L115"/>
    <mergeCell ref="L122:L132"/>
    <mergeCell ref="A101:A103"/>
    <mergeCell ref="A107:A113"/>
    <mergeCell ref="L107:L113"/>
    <mergeCell ref="A114:A115"/>
    <mergeCell ref="A116:A118"/>
    <mergeCell ref="A119:A121"/>
    <mergeCell ref="A122:A132"/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2:N45"/>
    <mergeCell ref="N47:N49"/>
    <mergeCell ref="D14:E14"/>
    <mergeCell ref="C19:C21"/>
    <mergeCell ref="D19:D21"/>
    <mergeCell ref="C27:C29"/>
    <mergeCell ref="A39:N39"/>
    <mergeCell ref="A42:A45"/>
    <mergeCell ref="A47:A49"/>
    <mergeCell ref="B64:B65"/>
    <mergeCell ref="L64:L65"/>
    <mergeCell ref="L116:L118"/>
    <mergeCell ref="L119:L121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217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9.944941E7</v>
      </c>
      <c r="C4" s="31">
        <v>3.50476E8</v>
      </c>
      <c r="D4" s="31">
        <v>3.25E8</v>
      </c>
      <c r="E4" s="32">
        <v>0.284</v>
      </c>
      <c r="F4" s="32">
        <v>0.306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9.944941E7</v>
      </c>
      <c r="C5" s="31">
        <v>3.22041E8</v>
      </c>
      <c r="D5" s="31">
        <v>2.88741E8</v>
      </c>
      <c r="E5" s="32">
        <v>0.309</v>
      </c>
      <c r="F5" s="32">
        <v>0.344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19</v>
      </c>
      <c r="B13" s="3"/>
      <c r="C13" s="49">
        <v>6.526413E7</v>
      </c>
      <c r="D13" s="48" t="s">
        <v>19</v>
      </c>
      <c r="E13" s="3"/>
      <c r="F13" s="49">
        <v>9.944941E7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20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21</v>
      </c>
      <c r="B16" s="56" t="s">
        <v>218</v>
      </c>
      <c r="C16" s="56" t="s">
        <v>23</v>
      </c>
      <c r="D16" s="57" t="s">
        <v>24</v>
      </c>
      <c r="E16" s="56" t="s">
        <v>25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26</v>
      </c>
      <c r="B17" s="61">
        <f>SUMIF(F40:F44,"RED",M40:M44)</f>
        <v>358700</v>
      </c>
      <c r="C17" s="61">
        <f>L53*C37</f>
        <v>0</v>
      </c>
      <c r="D17" s="61">
        <f>L60*D37</f>
        <v>0</v>
      </c>
      <c r="E17" s="61">
        <f>SUM(B17:D17)</f>
        <v>358700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27</v>
      </c>
      <c r="B18" s="61">
        <f>SUMIF(F40:F44,"BLUE",M40:M44)</f>
        <v>11493700</v>
      </c>
      <c r="C18" s="62"/>
      <c r="D18" s="62"/>
      <c r="E18" s="61">
        <f t="shared" ref="E18:E20" si="1">SUM(B18:C18)</f>
        <v>11493700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28</v>
      </c>
      <c r="B19" s="61">
        <f>SUMIF(F40:F44,"OEM",M40:M44)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29</v>
      </c>
      <c r="B20" s="61">
        <f>SUMIF(F40:F44,"NO LOGO",M40:M44)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219</v>
      </c>
      <c r="B21" s="66">
        <f>SUM(B17:B20)</f>
        <v>11852400</v>
      </c>
      <c r="C21" s="66">
        <f t="shared" ref="C21:D21" si="2">C17</f>
        <v>0</v>
      </c>
      <c r="D21" s="66">
        <f t="shared" si="2"/>
        <v>0</v>
      </c>
      <c r="E21" s="66">
        <f>SUM(E17:E20)</f>
        <v>11852400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31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21</v>
      </c>
      <c r="B24" s="56" t="s">
        <v>220</v>
      </c>
      <c r="C24" s="56" t="s">
        <v>23</v>
      </c>
      <c r="D24" s="56" t="s">
        <v>25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SUMIFS(K65:K169,O65:O169,"&lt;&gt;"&amp;"CONVUM",O65:O169,"&lt;&gt;"&amp;"MYOTOKU CHINA",F65:F169,"RED")</f>
        <v>13226770</v>
      </c>
      <c r="C25" s="61">
        <f>SUMIFS(K65:K169,O65:O169,"CONVUM",F65:F169,"RED")</f>
        <v>0</v>
      </c>
      <c r="D25" s="61">
        <f t="shared" ref="D25:D28" si="3">SUM(B25:C25)</f>
        <v>13226770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SUMIFS(K65:K169,O65:O169,"&lt;&gt;"&amp;"CONVUM",O65:O169,"&lt;&gt;"&amp;"MYOTOKU CHINA",F65:F169,"BLUE")</f>
        <v>3022550</v>
      </c>
      <c r="C26" s="62"/>
      <c r="D26" s="61">
        <f t="shared" si="3"/>
        <v>3022550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28</v>
      </c>
      <c r="B27" s="61">
        <f>SUMIFS(K65:K169,O65:O169,"&lt;&gt;"&amp;"CONVUM",O65:O169,"&lt;&gt;"&amp;"MYOTOKU CHINA",F65:F169,"OEM")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29</v>
      </c>
      <c r="B28" s="61">
        <f>SUMIFS(K65:K169,O65:O169,"&lt;&gt;"&amp;"CONVUM",O65:O169,"&lt;&gt;"&amp;"MYOTOKU CHINA",F65:F169,"NO LOGO")</f>
        <v>17702000</v>
      </c>
      <c r="C28" s="71"/>
      <c r="D28" s="61">
        <f t="shared" si="3"/>
        <v>17702000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221</v>
      </c>
      <c r="B29" s="66">
        <f>SUM(B25:B28)</f>
        <v>33951320</v>
      </c>
      <c r="C29" s="66">
        <f>C25</f>
        <v>0</v>
      </c>
      <c r="D29" s="66">
        <f>SUM(D25:D28)</f>
        <v>33951320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222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21</v>
      </c>
      <c r="B32" s="56" t="s">
        <v>223</v>
      </c>
      <c r="C32" s="56" t="s">
        <v>23</v>
      </c>
      <c r="D32" s="57" t="s">
        <v>24</v>
      </c>
      <c r="E32" s="56" t="s">
        <v>25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36</v>
      </c>
      <c r="B33" s="61">
        <v>1.2829416E8</v>
      </c>
      <c r="C33" s="61">
        <f>3868500*C37</f>
        <v>36259063.65</v>
      </c>
      <c r="D33" s="61">
        <f>0*D37</f>
        <v>0</v>
      </c>
      <c r="E33" s="61">
        <f t="shared" ref="E33:E35" si="4">SUM(B33:D33)</f>
        <v>164553223.7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37</v>
      </c>
      <c r="B34" s="61">
        <v>4715000.0</v>
      </c>
      <c r="C34" s="61">
        <f>4126500*C37</f>
        <v>38677271.85</v>
      </c>
      <c r="D34" s="61">
        <f>0*D37</f>
        <v>0</v>
      </c>
      <c r="E34" s="61">
        <f t="shared" si="4"/>
        <v>43392271.85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38</v>
      </c>
      <c r="B35" s="61">
        <v>1.09972E8</v>
      </c>
      <c r="C35" s="61">
        <f>6560000*C37</f>
        <v>61486224</v>
      </c>
      <c r="D35" s="61">
        <v>0.0</v>
      </c>
      <c r="E35" s="61">
        <f t="shared" si="4"/>
        <v>171458224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224</v>
      </c>
      <c r="B36" s="66">
        <f t="shared" ref="B36:E36" si="5">SUM(B33:B35)</f>
        <v>242981160</v>
      </c>
      <c r="C36" s="66">
        <f t="shared" si="5"/>
        <v>136422559.5</v>
      </c>
      <c r="D36" s="66">
        <f t="shared" si="5"/>
        <v>0</v>
      </c>
      <c r="E36" s="66">
        <f t="shared" si="5"/>
        <v>379403719.5</v>
      </c>
      <c r="F36" s="43"/>
      <c r="G36" s="58"/>
      <c r="H36" s="43"/>
      <c r="I36" s="44"/>
      <c r="J36" s="42"/>
      <c r="K36" s="75" t="s">
        <v>40</v>
      </c>
      <c r="L36" s="75" t="s">
        <v>41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42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43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44</v>
      </c>
      <c r="B39" s="82" t="s">
        <v>45</v>
      </c>
      <c r="C39" s="82" t="s">
        <v>46</v>
      </c>
      <c r="D39" s="82" t="s">
        <v>47</v>
      </c>
      <c r="E39" s="82" t="s">
        <v>48</v>
      </c>
      <c r="F39" s="82" t="s">
        <v>49</v>
      </c>
      <c r="G39" s="82" t="s">
        <v>50</v>
      </c>
      <c r="H39" s="83" t="s">
        <v>51</v>
      </c>
      <c r="I39" s="82" t="s">
        <v>52</v>
      </c>
      <c r="J39" s="84" t="s">
        <v>53</v>
      </c>
      <c r="K39" s="66" t="s">
        <v>225</v>
      </c>
      <c r="L39" s="85" t="s">
        <v>55</v>
      </c>
      <c r="M39" s="86" t="s">
        <v>56</v>
      </c>
      <c r="N39" s="86" t="s">
        <v>57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82</v>
      </c>
      <c r="B40" s="30" t="s">
        <v>139</v>
      </c>
      <c r="C40" s="30" t="s">
        <v>140</v>
      </c>
      <c r="D40" s="30" t="s">
        <v>105</v>
      </c>
      <c r="E40" s="30" t="s">
        <v>70</v>
      </c>
      <c r="F40" s="87" t="s">
        <v>71</v>
      </c>
      <c r="G40" s="87" t="s">
        <v>226</v>
      </c>
      <c r="H40" s="87" t="s">
        <v>227</v>
      </c>
      <c r="I40" s="30"/>
      <c r="J40" s="35">
        <v>10.0</v>
      </c>
      <c r="K40" s="89" t="s">
        <v>40</v>
      </c>
      <c r="L40" s="90">
        <v>7020.0</v>
      </c>
      <c r="M40" s="31">
        <v>70200.0</v>
      </c>
      <c r="N40" s="91">
        <f t="shared" ref="N40:N44" si="6">SUM(M40)</f>
        <v>70200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88</v>
      </c>
      <c r="B41" s="148" t="s">
        <v>89</v>
      </c>
      <c r="C41" s="30" t="s">
        <v>67</v>
      </c>
      <c r="D41" s="30" t="s">
        <v>61</v>
      </c>
      <c r="E41" s="30" t="s">
        <v>185</v>
      </c>
      <c r="F41" s="87" t="s">
        <v>63</v>
      </c>
      <c r="G41" s="87" t="s">
        <v>228</v>
      </c>
      <c r="H41" s="87" t="s">
        <v>229</v>
      </c>
      <c r="I41" s="30"/>
      <c r="J41" s="35">
        <v>100.0</v>
      </c>
      <c r="K41" s="89" t="s">
        <v>41</v>
      </c>
      <c r="L41" s="90">
        <v>110000.0</v>
      </c>
      <c r="M41" s="31">
        <v>1.1E7</v>
      </c>
      <c r="N41" s="91">
        <f t="shared" si="6"/>
        <v>11000000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92</v>
      </c>
      <c r="B42" s="30" t="s">
        <v>93</v>
      </c>
      <c r="C42" s="30" t="s">
        <v>67</v>
      </c>
      <c r="D42" s="30" t="s">
        <v>61</v>
      </c>
      <c r="E42" s="30" t="s">
        <v>106</v>
      </c>
      <c r="F42" s="87" t="s">
        <v>63</v>
      </c>
      <c r="G42" s="87" t="s">
        <v>90</v>
      </c>
      <c r="H42" s="87" t="s">
        <v>91</v>
      </c>
      <c r="I42" s="30"/>
      <c r="J42" s="35">
        <v>200.0</v>
      </c>
      <c r="K42" s="89" t="s">
        <v>41</v>
      </c>
      <c r="L42" s="90">
        <v>1770.0</v>
      </c>
      <c r="M42" s="31">
        <v>354000.0</v>
      </c>
      <c r="N42" s="93">
        <f t="shared" si="6"/>
        <v>354000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96</v>
      </c>
      <c r="B43" s="30" t="s">
        <v>214</v>
      </c>
      <c r="C43" s="30" t="s">
        <v>189</v>
      </c>
      <c r="D43" s="30" t="s">
        <v>61</v>
      </c>
      <c r="E43" s="30" t="s">
        <v>185</v>
      </c>
      <c r="F43" s="87" t="s">
        <v>63</v>
      </c>
      <c r="G43" s="87" t="s">
        <v>215</v>
      </c>
      <c r="H43" s="87" t="s">
        <v>216</v>
      </c>
      <c r="I43" s="30"/>
      <c r="J43" s="35">
        <v>1.0</v>
      </c>
      <c r="K43" s="89" t="s">
        <v>41</v>
      </c>
      <c r="L43" s="90">
        <v>139700.0</v>
      </c>
      <c r="M43" s="141">
        <v>139700.0</v>
      </c>
      <c r="N43" s="91">
        <f t="shared" si="6"/>
        <v>139700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182</v>
      </c>
      <c r="B44" s="30" t="s">
        <v>230</v>
      </c>
      <c r="C44" s="30" t="s">
        <v>98</v>
      </c>
      <c r="D44" s="30" t="s">
        <v>85</v>
      </c>
      <c r="E44" s="30" t="s">
        <v>70</v>
      </c>
      <c r="F44" s="87" t="s">
        <v>71</v>
      </c>
      <c r="G44" s="87" t="s">
        <v>231</v>
      </c>
      <c r="H44" s="87" t="s">
        <v>232</v>
      </c>
      <c r="I44" s="30"/>
      <c r="J44" s="35">
        <v>50.0</v>
      </c>
      <c r="K44" s="89" t="s">
        <v>40</v>
      </c>
      <c r="L44" s="90">
        <v>5770.0</v>
      </c>
      <c r="M44" s="141">
        <v>288500.0</v>
      </c>
      <c r="N44" s="91">
        <f t="shared" si="6"/>
        <v>288500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0" customHeight="1">
      <c r="A45" s="95" t="str">
        <f>MID(CELL("filename",$A$1),FIND("]",CELL("filename",$A$1))+1,100)&amp;" TOTAL"</f>
        <v>#VALUE!</v>
      </c>
      <c r="B45" s="96"/>
      <c r="C45" s="96"/>
      <c r="D45" s="96"/>
      <c r="E45" s="96"/>
      <c r="F45" s="96"/>
      <c r="G45" s="97"/>
      <c r="H45" s="97"/>
      <c r="I45" s="96"/>
      <c r="J45" s="96"/>
      <c r="K45" s="98"/>
      <c r="L45" s="99"/>
      <c r="M45" s="66">
        <f t="shared" ref="M45:N45" si="7">SUM(M40:M44)</f>
        <v>11852400</v>
      </c>
      <c r="N45" s="100">
        <f t="shared" si="7"/>
        <v>11852400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101"/>
      <c r="B46" s="102"/>
      <c r="C46" s="102"/>
      <c r="D46" s="102"/>
      <c r="E46" s="102"/>
      <c r="F46" s="102"/>
      <c r="G46" s="102"/>
      <c r="H46" s="103"/>
      <c r="I46" s="102"/>
      <c r="J46" s="102"/>
      <c r="K46" s="102"/>
      <c r="L46" s="104"/>
      <c r="M46" s="105"/>
      <c r="N46" s="104"/>
      <c r="O46" s="45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20.25" customHeight="1">
      <c r="A47" s="101" t="s">
        <v>109</v>
      </c>
      <c r="B47" s="106"/>
      <c r="C47" s="107"/>
      <c r="D47" s="107"/>
      <c r="E47" s="107"/>
      <c r="F47" s="107"/>
      <c r="G47" s="107"/>
      <c r="H47" s="108"/>
      <c r="I47" s="107"/>
      <c r="J47" s="107"/>
      <c r="K47" s="43"/>
      <c r="L47" s="109"/>
      <c r="M47" s="43"/>
      <c r="N47" s="109"/>
      <c r="O47" s="45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6.5" hidden="1" customHeight="1">
      <c r="A48" s="101"/>
      <c r="B48" s="106"/>
      <c r="C48" s="107"/>
      <c r="D48" s="107"/>
      <c r="E48" s="107"/>
      <c r="F48" s="107"/>
      <c r="G48" s="107"/>
      <c r="H48" s="108"/>
      <c r="I48" s="107"/>
      <c r="J48" s="107"/>
      <c r="K48" s="43"/>
      <c r="L48" s="109"/>
      <c r="M48" s="43"/>
      <c r="N48" s="109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6.5" hidden="1" customHeight="1">
      <c r="A49" s="110" t="s">
        <v>110</v>
      </c>
      <c r="B49" s="67"/>
      <c r="C49" s="67"/>
      <c r="D49" s="101"/>
      <c r="E49" s="67"/>
      <c r="F49" s="67"/>
      <c r="G49" s="67"/>
      <c r="H49" s="111"/>
      <c r="I49" s="112"/>
      <c r="J49" s="112"/>
      <c r="K49" s="112"/>
      <c r="L49" s="112"/>
      <c r="M49" s="68"/>
      <c r="N49" s="113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6.5" hidden="1" customHeight="1">
      <c r="A50" s="57" t="s">
        <v>44</v>
      </c>
      <c r="B50" s="57" t="s">
        <v>45</v>
      </c>
      <c r="C50" s="57" t="s">
        <v>46</v>
      </c>
      <c r="D50" s="57" t="s">
        <v>233</v>
      </c>
      <c r="E50" s="57" t="s">
        <v>48</v>
      </c>
      <c r="F50" s="57" t="s">
        <v>112</v>
      </c>
      <c r="G50" s="57" t="s">
        <v>50</v>
      </c>
      <c r="H50" s="57" t="s">
        <v>51</v>
      </c>
      <c r="I50" s="57" t="s">
        <v>53</v>
      </c>
      <c r="J50" s="57" t="s">
        <v>113</v>
      </c>
      <c r="K50" s="57" t="s">
        <v>114</v>
      </c>
      <c r="L50" s="114" t="s">
        <v>115</v>
      </c>
      <c r="M50" s="114" t="s">
        <v>116</v>
      </c>
      <c r="N50" s="58"/>
      <c r="O50" s="115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16.5" hidden="1" customHeight="1">
      <c r="A51" s="92"/>
      <c r="B51" s="117"/>
      <c r="C51" s="88"/>
      <c r="D51" s="30"/>
      <c r="E51" s="30"/>
      <c r="F51" s="87"/>
      <c r="G51" s="87"/>
      <c r="H51" s="87"/>
      <c r="I51" s="34"/>
      <c r="J51" s="118"/>
      <c r="K51" s="118"/>
      <c r="L51" s="119"/>
      <c r="M51" s="120"/>
      <c r="N51" s="44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6.5" hidden="1" customHeight="1">
      <c r="A52" s="71"/>
      <c r="B52" s="71"/>
      <c r="C52" s="88"/>
      <c r="D52" s="30"/>
      <c r="E52" s="30"/>
      <c r="F52" s="87"/>
      <c r="G52" s="87"/>
      <c r="H52" s="87"/>
      <c r="I52" s="31"/>
      <c r="J52" s="118"/>
      <c r="K52" s="118"/>
      <c r="L52" s="64"/>
      <c r="M52" s="120"/>
      <c r="N52" s="44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21" t="str">
        <f>A45</f>
        <v>#VALUE!</v>
      </c>
      <c r="B53" s="2"/>
      <c r="C53" s="2"/>
      <c r="D53" s="2"/>
      <c r="E53" s="2"/>
      <c r="F53" s="2"/>
      <c r="G53" s="2"/>
      <c r="H53" s="2"/>
      <c r="I53" s="2"/>
      <c r="J53" s="3"/>
      <c r="K53" s="122">
        <f>SUM(K51:K52)</f>
        <v>0</v>
      </c>
      <c r="L53" s="123">
        <f>SUM(L51)</f>
        <v>0</v>
      </c>
      <c r="M53" s="56"/>
      <c r="N53" s="44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1"/>
      <c r="B54" s="67"/>
      <c r="C54" s="67"/>
      <c r="D54" s="101"/>
      <c r="E54" s="67"/>
      <c r="F54" s="67"/>
      <c r="G54" s="67"/>
      <c r="H54" s="111"/>
      <c r="I54" s="112"/>
      <c r="J54" s="112"/>
      <c r="K54" s="112"/>
      <c r="L54" s="112"/>
      <c r="M54" s="68"/>
      <c r="N54" s="113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44</v>
      </c>
      <c r="B55" s="57" t="s">
        <v>45</v>
      </c>
      <c r="C55" s="57" t="s">
        <v>46</v>
      </c>
      <c r="D55" s="57" t="s">
        <v>234</v>
      </c>
      <c r="E55" s="57" t="s">
        <v>48</v>
      </c>
      <c r="F55" s="57" t="s">
        <v>118</v>
      </c>
      <c r="G55" s="57" t="s">
        <v>50</v>
      </c>
      <c r="H55" s="57" t="s">
        <v>51</v>
      </c>
      <c r="I55" s="114" t="s">
        <v>53</v>
      </c>
      <c r="J55" s="114" t="s">
        <v>119</v>
      </c>
      <c r="K55" s="124" t="s">
        <v>120</v>
      </c>
      <c r="L55" s="125" t="s">
        <v>121</v>
      </c>
      <c r="M55" s="124" t="s">
        <v>116</v>
      </c>
      <c r="N55" s="58"/>
      <c r="O55" s="115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6.5" hidden="1" customHeight="1">
      <c r="A56" s="92"/>
      <c r="B56" s="156"/>
      <c r="C56" s="157"/>
      <c r="D56" s="158"/>
      <c r="E56" s="30"/>
      <c r="F56" s="87"/>
      <c r="G56" s="159"/>
      <c r="H56" s="159"/>
      <c r="I56" s="160"/>
      <c r="J56" s="161"/>
      <c r="K56" s="162"/>
      <c r="L56" s="163"/>
      <c r="M56" s="164"/>
      <c r="N56" s="58"/>
      <c r="O56" s="115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6.5" hidden="1" customHeight="1">
      <c r="A57" s="145"/>
      <c r="B57" s="165"/>
      <c r="C57" s="157"/>
      <c r="D57" s="158"/>
      <c r="E57" s="30"/>
      <c r="F57" s="87"/>
      <c r="G57" s="166"/>
      <c r="H57" s="167"/>
      <c r="I57" s="161"/>
      <c r="J57" s="161"/>
      <c r="K57" s="161"/>
      <c r="L57" s="168"/>
      <c r="M57" s="164"/>
      <c r="N57" s="58"/>
      <c r="O57" s="115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6.5" hidden="1" customHeight="1">
      <c r="A58" s="145"/>
      <c r="B58" s="165"/>
      <c r="C58" s="157"/>
      <c r="D58" s="158"/>
      <c r="E58" s="30"/>
      <c r="F58" s="87"/>
      <c r="G58" s="166"/>
      <c r="H58" s="167"/>
      <c r="I58" s="161"/>
      <c r="J58" s="161"/>
      <c r="K58" s="161"/>
      <c r="L58" s="168"/>
      <c r="M58" s="164"/>
      <c r="N58" s="58"/>
      <c r="O58" s="115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6.5" hidden="1" customHeight="1">
      <c r="A59" s="146"/>
      <c r="B59" s="169"/>
      <c r="C59" s="157"/>
      <c r="D59" s="158"/>
      <c r="E59" s="30"/>
      <c r="F59" s="87"/>
      <c r="G59" s="166"/>
      <c r="H59" s="167"/>
      <c r="I59" s="161"/>
      <c r="J59" s="161"/>
      <c r="K59" s="161"/>
      <c r="L59" s="170"/>
      <c r="M59" s="164"/>
      <c r="N59" s="58"/>
      <c r="O59" s="115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16.5" hidden="1" customHeight="1">
      <c r="A60" s="129" t="str">
        <f>A45</f>
        <v>#VALUE!</v>
      </c>
      <c r="B60" s="80"/>
      <c r="C60" s="80"/>
      <c r="D60" s="80"/>
      <c r="E60" s="80"/>
      <c r="F60" s="80"/>
      <c r="G60" s="80"/>
      <c r="H60" s="80"/>
      <c r="I60" s="80"/>
      <c r="J60" s="130"/>
      <c r="K60" s="131">
        <f>SUM(K56:K59)</f>
        <v>0</v>
      </c>
      <c r="L60" s="131">
        <f>SUM(L56)</f>
        <v>0</v>
      </c>
      <c r="M60" s="132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hidden="1" customHeight="1">
      <c r="A61" s="133"/>
      <c r="B61" s="134"/>
      <c r="C61" s="112"/>
      <c r="D61" s="112"/>
      <c r="E61" s="134"/>
      <c r="F61" s="134"/>
      <c r="G61" s="134"/>
      <c r="H61" s="111"/>
      <c r="I61" s="112"/>
      <c r="J61" s="112"/>
      <c r="K61" s="112"/>
      <c r="L61" s="112"/>
      <c r="M61" s="134"/>
      <c r="N61" s="113"/>
      <c r="O61" s="75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0.75" hidden="1" customHeight="1">
      <c r="A62" s="133"/>
      <c r="B62" s="134"/>
      <c r="C62" s="112"/>
      <c r="D62" s="112"/>
      <c r="E62" s="134"/>
      <c r="F62" s="134"/>
      <c r="G62" s="134"/>
      <c r="H62" s="111"/>
      <c r="I62" s="112"/>
      <c r="J62" s="112"/>
      <c r="K62" s="112"/>
      <c r="L62" s="112"/>
      <c r="M62" s="134"/>
      <c r="N62" s="113"/>
      <c r="O62" s="75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hidden="1" customHeight="1">
      <c r="A63" s="133"/>
      <c r="B63" s="134"/>
      <c r="C63" s="112"/>
      <c r="D63" s="112"/>
      <c r="E63" s="134"/>
      <c r="F63" s="134"/>
      <c r="G63" s="134"/>
      <c r="H63" s="111"/>
      <c r="I63" s="112"/>
      <c r="J63" s="112"/>
      <c r="K63" s="112"/>
      <c r="L63" s="112"/>
      <c r="M63" s="134"/>
      <c r="N63" s="113"/>
      <c r="O63" s="75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33"/>
      <c r="B64" s="134"/>
      <c r="C64" s="112"/>
      <c r="D64" s="112"/>
      <c r="E64" s="134"/>
      <c r="F64" s="134"/>
      <c r="G64" s="134"/>
      <c r="H64" s="111"/>
      <c r="I64" s="112"/>
      <c r="J64" s="112"/>
      <c r="K64" s="112"/>
      <c r="L64" s="112"/>
      <c r="M64" s="134"/>
      <c r="N64" s="113"/>
      <c r="O64" s="75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0" hidden="1" customHeight="1">
      <c r="A65" s="112" t="s">
        <v>235</v>
      </c>
      <c r="B65" s="135"/>
      <c r="C65" s="136"/>
      <c r="D65" s="136"/>
      <c r="E65" s="135"/>
      <c r="F65" s="136"/>
      <c r="G65" s="135"/>
      <c r="H65" s="137"/>
      <c r="I65" s="136"/>
      <c r="J65" s="136"/>
      <c r="K65" s="136"/>
      <c r="L65" s="136"/>
      <c r="M65" s="135"/>
      <c r="N65" s="138"/>
      <c r="O65" s="75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0" hidden="1" customHeight="1">
      <c r="A66" s="112"/>
      <c r="B66" s="135"/>
      <c r="C66" s="136"/>
      <c r="D66" s="136"/>
      <c r="E66" s="135"/>
      <c r="F66" s="136"/>
      <c r="G66" s="135"/>
      <c r="H66" s="137"/>
      <c r="I66" s="136"/>
      <c r="J66" s="136"/>
      <c r="K66" s="136"/>
      <c r="L66" s="136"/>
      <c r="M66" s="135"/>
      <c r="N66" s="138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0" hidden="1" customHeight="1">
      <c r="A67" s="112"/>
      <c r="B67" s="135"/>
      <c r="C67" s="136"/>
      <c r="D67" s="136"/>
      <c r="E67" s="135"/>
      <c r="F67" s="136"/>
      <c r="G67" s="135"/>
      <c r="H67" s="137"/>
      <c r="I67" s="136"/>
      <c r="J67" s="136"/>
      <c r="K67" s="136"/>
      <c r="L67" s="136"/>
      <c r="M67" s="135"/>
      <c r="N67" s="138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0" hidden="1" customHeight="1">
      <c r="A68" s="112"/>
      <c r="B68" s="135"/>
      <c r="C68" s="136"/>
      <c r="D68" s="136"/>
      <c r="E68" s="135"/>
      <c r="F68" s="136"/>
      <c r="G68" s="135"/>
      <c r="H68" s="137"/>
      <c r="I68" s="136"/>
      <c r="J68" s="136"/>
      <c r="K68" s="136"/>
      <c r="L68" s="136"/>
      <c r="M68" s="135"/>
      <c r="N68" s="138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0" hidden="1" customHeight="1">
      <c r="A69" s="112"/>
      <c r="B69" s="135"/>
      <c r="C69" s="136"/>
      <c r="D69" s="136"/>
      <c r="E69" s="135"/>
      <c r="F69" s="136"/>
      <c r="G69" s="135"/>
      <c r="H69" s="137"/>
      <c r="I69" s="136"/>
      <c r="J69" s="136"/>
      <c r="K69" s="136"/>
      <c r="L69" s="136"/>
      <c r="M69" s="135"/>
      <c r="N69" s="138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customHeight="1">
      <c r="A70" s="79" t="s">
        <v>123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6.5" customHeight="1">
      <c r="A71" s="56" t="s">
        <v>44</v>
      </c>
      <c r="B71" s="56" t="s">
        <v>45</v>
      </c>
      <c r="C71" s="56" t="s">
        <v>46</v>
      </c>
      <c r="D71" s="56" t="s">
        <v>236</v>
      </c>
      <c r="E71" s="56" t="s">
        <v>48</v>
      </c>
      <c r="F71" s="56" t="s">
        <v>49</v>
      </c>
      <c r="G71" s="56" t="s">
        <v>50</v>
      </c>
      <c r="H71" s="57" t="s">
        <v>51</v>
      </c>
      <c r="I71" s="139" t="s">
        <v>53</v>
      </c>
      <c r="J71" s="139" t="s">
        <v>55</v>
      </c>
      <c r="K71" s="124" t="s">
        <v>125</v>
      </c>
      <c r="L71" s="125" t="s">
        <v>57</v>
      </c>
      <c r="M71" s="140" t="s">
        <v>116</v>
      </c>
      <c r="N71" s="3"/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6.5" customHeight="1">
      <c r="A72" s="87" t="s">
        <v>135</v>
      </c>
      <c r="B72" s="30" t="s">
        <v>237</v>
      </c>
      <c r="C72" s="30" t="s">
        <v>67</v>
      </c>
      <c r="D72" s="30" t="s">
        <v>61</v>
      </c>
      <c r="E72" s="30" t="s">
        <v>70</v>
      </c>
      <c r="F72" s="87" t="s">
        <v>71</v>
      </c>
      <c r="G72" s="87" t="s">
        <v>238</v>
      </c>
      <c r="H72" s="87" t="s">
        <v>239</v>
      </c>
      <c r="I72" s="34">
        <v>1.0</v>
      </c>
      <c r="J72" s="31">
        <v>280200.0</v>
      </c>
      <c r="K72" s="31">
        <v>280200.0</v>
      </c>
      <c r="L72" s="91">
        <f>SUM(K72)</f>
        <v>280200</v>
      </c>
      <c r="M72" s="142"/>
      <c r="N72" s="143"/>
      <c r="O72" s="45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6.5" customHeight="1">
      <c r="A73" s="92" t="s">
        <v>201</v>
      </c>
      <c r="B73" s="30" t="s">
        <v>240</v>
      </c>
      <c r="C73" s="30" t="s">
        <v>98</v>
      </c>
      <c r="D73" s="30" t="s">
        <v>105</v>
      </c>
      <c r="E73" s="30" t="s">
        <v>70</v>
      </c>
      <c r="F73" s="87" t="s">
        <v>71</v>
      </c>
      <c r="G73" s="87" t="s">
        <v>241</v>
      </c>
      <c r="H73" s="87" t="s">
        <v>242</v>
      </c>
      <c r="I73" s="34">
        <v>100.0</v>
      </c>
      <c r="J73" s="31">
        <v>8270.0</v>
      </c>
      <c r="K73" s="31">
        <v>827000.0</v>
      </c>
      <c r="L73" s="93">
        <f>SUM(K73:K74)</f>
        <v>1767500</v>
      </c>
      <c r="M73" s="142"/>
      <c r="N73" s="143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6.5" customHeight="1">
      <c r="A74" s="71"/>
      <c r="B74" s="30" t="s">
        <v>240</v>
      </c>
      <c r="C74" s="30" t="s">
        <v>98</v>
      </c>
      <c r="D74" s="30" t="s">
        <v>105</v>
      </c>
      <c r="E74" s="30" t="s">
        <v>70</v>
      </c>
      <c r="F74" s="87" t="s">
        <v>71</v>
      </c>
      <c r="G74" s="87" t="s">
        <v>243</v>
      </c>
      <c r="H74" s="87" t="s">
        <v>244</v>
      </c>
      <c r="I74" s="34">
        <v>30.0</v>
      </c>
      <c r="J74" s="31">
        <v>31350.0</v>
      </c>
      <c r="K74" s="31">
        <v>940500.0</v>
      </c>
      <c r="L74" s="71"/>
      <c r="M74" s="142"/>
      <c r="N74" s="143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6.5" customHeight="1">
      <c r="A75" s="171" t="s">
        <v>245</v>
      </c>
      <c r="B75" s="149" t="s">
        <v>246</v>
      </c>
      <c r="C75" s="30" t="s">
        <v>67</v>
      </c>
      <c r="D75" s="30" t="s">
        <v>148</v>
      </c>
      <c r="E75" s="30" t="s">
        <v>185</v>
      </c>
      <c r="F75" s="87" t="s">
        <v>63</v>
      </c>
      <c r="G75" s="87" t="s">
        <v>247</v>
      </c>
      <c r="H75" s="87" t="s">
        <v>248</v>
      </c>
      <c r="I75" s="34">
        <v>6.0</v>
      </c>
      <c r="J75" s="31">
        <v>75800.0</v>
      </c>
      <c r="K75" s="31">
        <v>454800.0</v>
      </c>
      <c r="L75" s="91">
        <f>SUM(K75)</f>
        <v>454800</v>
      </c>
      <c r="M75" s="142"/>
      <c r="N75" s="143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92" t="s">
        <v>249</v>
      </c>
      <c r="B76" s="30" t="s">
        <v>250</v>
      </c>
      <c r="C76" s="30" t="s">
        <v>251</v>
      </c>
      <c r="D76" s="30" t="s">
        <v>61</v>
      </c>
      <c r="E76" s="30" t="s">
        <v>70</v>
      </c>
      <c r="F76" s="87" t="s">
        <v>71</v>
      </c>
      <c r="G76" s="87" t="s">
        <v>252</v>
      </c>
      <c r="H76" s="87" t="s">
        <v>253</v>
      </c>
      <c r="I76" s="34">
        <v>160.0</v>
      </c>
      <c r="J76" s="31">
        <v>20600.0</v>
      </c>
      <c r="K76" s="31">
        <v>3296000.0</v>
      </c>
      <c r="L76" s="93">
        <f>SUM(K76:K78)</f>
        <v>5521000</v>
      </c>
      <c r="M76" s="142"/>
      <c r="N76" s="143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64"/>
      <c r="B77" s="30" t="s">
        <v>250</v>
      </c>
      <c r="C77" s="30" t="s">
        <v>251</v>
      </c>
      <c r="D77" s="30" t="s">
        <v>61</v>
      </c>
      <c r="E77" s="30" t="s">
        <v>70</v>
      </c>
      <c r="F77" s="87" t="s">
        <v>71</v>
      </c>
      <c r="G77" s="87" t="s">
        <v>254</v>
      </c>
      <c r="H77" s="87" t="s">
        <v>255</v>
      </c>
      <c r="I77" s="34">
        <v>50.0</v>
      </c>
      <c r="J77" s="31">
        <v>20500.0</v>
      </c>
      <c r="K77" s="31">
        <v>1025000.0</v>
      </c>
      <c r="L77" s="64"/>
      <c r="M77" s="142"/>
      <c r="N77" s="143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71"/>
      <c r="B78" s="30" t="s">
        <v>250</v>
      </c>
      <c r="C78" s="30" t="s">
        <v>251</v>
      </c>
      <c r="D78" s="30" t="s">
        <v>61</v>
      </c>
      <c r="E78" s="30" t="s">
        <v>70</v>
      </c>
      <c r="F78" s="87" t="s">
        <v>71</v>
      </c>
      <c r="G78" s="87" t="s">
        <v>256</v>
      </c>
      <c r="H78" s="87" t="s">
        <v>257</v>
      </c>
      <c r="I78" s="34">
        <v>50.0</v>
      </c>
      <c r="J78" s="31">
        <v>24000.0</v>
      </c>
      <c r="K78" s="31">
        <v>1200000.0</v>
      </c>
      <c r="L78" s="71"/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92" t="s">
        <v>82</v>
      </c>
      <c r="B79" s="30" t="s">
        <v>147</v>
      </c>
      <c r="C79" s="30" t="s">
        <v>98</v>
      </c>
      <c r="D79" s="30" t="s">
        <v>148</v>
      </c>
      <c r="E79" s="30" t="s">
        <v>70</v>
      </c>
      <c r="F79" s="87" t="s">
        <v>29</v>
      </c>
      <c r="G79" s="87" t="s">
        <v>258</v>
      </c>
      <c r="H79" s="87" t="s">
        <v>259</v>
      </c>
      <c r="I79" s="34">
        <v>100.0</v>
      </c>
      <c r="J79" s="31">
        <v>177000.0</v>
      </c>
      <c r="K79" s="31">
        <v>1.77E7</v>
      </c>
      <c r="L79" s="93">
        <f>SUM(K79:K90)</f>
        <v>20730610</v>
      </c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139</v>
      </c>
      <c r="C80" s="30" t="s">
        <v>140</v>
      </c>
      <c r="D80" s="30" t="s">
        <v>105</v>
      </c>
      <c r="E80" s="30" t="s">
        <v>70</v>
      </c>
      <c r="F80" s="87" t="s">
        <v>71</v>
      </c>
      <c r="G80" s="87" t="s">
        <v>260</v>
      </c>
      <c r="H80" s="87" t="s">
        <v>261</v>
      </c>
      <c r="I80" s="34">
        <v>1.0</v>
      </c>
      <c r="J80" s="31">
        <v>356200.0</v>
      </c>
      <c r="K80" s="31">
        <v>356200.0</v>
      </c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139</v>
      </c>
      <c r="C81" s="30" t="s">
        <v>140</v>
      </c>
      <c r="D81" s="30" t="s">
        <v>105</v>
      </c>
      <c r="E81" s="30" t="s">
        <v>70</v>
      </c>
      <c r="F81" s="87" t="s">
        <v>71</v>
      </c>
      <c r="G81" s="87" t="s">
        <v>262</v>
      </c>
      <c r="H81" s="87" t="s">
        <v>263</v>
      </c>
      <c r="I81" s="34">
        <v>100.0</v>
      </c>
      <c r="J81" s="31">
        <v>4680.0</v>
      </c>
      <c r="K81" s="31">
        <v>468000.0</v>
      </c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64"/>
      <c r="B82" s="30" t="s">
        <v>83</v>
      </c>
      <c r="C82" s="30" t="s">
        <v>84</v>
      </c>
      <c r="D82" s="30" t="s">
        <v>85</v>
      </c>
      <c r="E82" s="30" t="s">
        <v>70</v>
      </c>
      <c r="F82" s="87" t="s">
        <v>71</v>
      </c>
      <c r="G82" s="87" t="s">
        <v>264</v>
      </c>
      <c r="H82" s="87" t="s">
        <v>265</v>
      </c>
      <c r="I82" s="34">
        <v>20.0</v>
      </c>
      <c r="J82" s="31">
        <v>15400.0</v>
      </c>
      <c r="K82" s="31">
        <v>308000.0</v>
      </c>
      <c r="L82" s="64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64"/>
      <c r="B83" s="30" t="s">
        <v>83</v>
      </c>
      <c r="C83" s="30" t="s">
        <v>84</v>
      </c>
      <c r="D83" s="30" t="s">
        <v>85</v>
      </c>
      <c r="E83" s="30" t="s">
        <v>70</v>
      </c>
      <c r="F83" s="87" t="s">
        <v>71</v>
      </c>
      <c r="G83" s="87" t="s">
        <v>266</v>
      </c>
      <c r="H83" s="87" t="s">
        <v>267</v>
      </c>
      <c r="I83" s="34">
        <v>20.0</v>
      </c>
      <c r="J83" s="31">
        <v>7800.0</v>
      </c>
      <c r="K83" s="31">
        <v>156000.0</v>
      </c>
      <c r="L83" s="64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64"/>
      <c r="B84" s="30" t="s">
        <v>139</v>
      </c>
      <c r="C84" s="30" t="s">
        <v>140</v>
      </c>
      <c r="D84" s="30" t="s">
        <v>105</v>
      </c>
      <c r="E84" s="30" t="s">
        <v>70</v>
      </c>
      <c r="F84" s="87" t="s">
        <v>71</v>
      </c>
      <c r="G84" s="87" t="s">
        <v>262</v>
      </c>
      <c r="H84" s="87" t="s">
        <v>263</v>
      </c>
      <c r="I84" s="34">
        <v>200.0</v>
      </c>
      <c r="J84" s="31">
        <v>4680.0</v>
      </c>
      <c r="K84" s="31">
        <v>936000.0</v>
      </c>
      <c r="L84" s="64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64"/>
      <c r="B85" s="30" t="s">
        <v>139</v>
      </c>
      <c r="C85" s="30" t="s">
        <v>140</v>
      </c>
      <c r="D85" s="30" t="s">
        <v>105</v>
      </c>
      <c r="E85" s="30" t="s">
        <v>70</v>
      </c>
      <c r="F85" s="87" t="s">
        <v>71</v>
      </c>
      <c r="G85" s="87" t="s">
        <v>268</v>
      </c>
      <c r="H85" s="87" t="s">
        <v>269</v>
      </c>
      <c r="I85" s="34">
        <v>1.0</v>
      </c>
      <c r="J85" s="31">
        <v>337900.0</v>
      </c>
      <c r="K85" s="31">
        <v>337900.0</v>
      </c>
      <c r="L85" s="64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139</v>
      </c>
      <c r="C86" s="30" t="s">
        <v>140</v>
      </c>
      <c r="D86" s="30" t="s">
        <v>105</v>
      </c>
      <c r="E86" s="30" t="s">
        <v>70</v>
      </c>
      <c r="F86" s="87" t="s">
        <v>71</v>
      </c>
      <c r="G86" s="87" t="s">
        <v>264</v>
      </c>
      <c r="H86" s="87" t="s">
        <v>265</v>
      </c>
      <c r="I86" s="34">
        <v>20.0</v>
      </c>
      <c r="J86" s="31">
        <v>15400.0</v>
      </c>
      <c r="K86" s="31">
        <v>308000.0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139</v>
      </c>
      <c r="C87" s="30" t="s">
        <v>140</v>
      </c>
      <c r="D87" s="30" t="s">
        <v>105</v>
      </c>
      <c r="E87" s="30" t="s">
        <v>106</v>
      </c>
      <c r="F87" s="87" t="s">
        <v>71</v>
      </c>
      <c r="G87" s="87" t="s">
        <v>270</v>
      </c>
      <c r="H87" s="87" t="s">
        <v>271</v>
      </c>
      <c r="I87" s="34">
        <v>1.0</v>
      </c>
      <c r="J87" s="31">
        <v>32700.0</v>
      </c>
      <c r="K87" s="31">
        <v>32700.0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83</v>
      </c>
      <c r="C88" s="30" t="s">
        <v>84</v>
      </c>
      <c r="D88" s="30" t="s">
        <v>85</v>
      </c>
      <c r="E88" s="30" t="s">
        <v>62</v>
      </c>
      <c r="F88" s="87" t="s">
        <v>63</v>
      </c>
      <c r="G88" s="87" t="s">
        <v>272</v>
      </c>
      <c r="H88" s="87" t="s">
        <v>273</v>
      </c>
      <c r="I88" s="34">
        <v>2.0</v>
      </c>
      <c r="J88" s="31">
        <v>3550.0</v>
      </c>
      <c r="K88" s="31">
        <v>7100.0</v>
      </c>
      <c r="L88" s="64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64"/>
      <c r="B89" s="30" t="s">
        <v>274</v>
      </c>
      <c r="C89" s="30" t="s">
        <v>101</v>
      </c>
      <c r="D89" s="30" t="s">
        <v>61</v>
      </c>
      <c r="E89" s="30" t="s">
        <v>62</v>
      </c>
      <c r="F89" s="87" t="s">
        <v>71</v>
      </c>
      <c r="G89" s="87" t="s">
        <v>275</v>
      </c>
      <c r="H89" s="87" t="s">
        <v>276</v>
      </c>
      <c r="I89" s="34">
        <v>50.0</v>
      </c>
      <c r="J89" s="31">
        <v>1750.0</v>
      </c>
      <c r="K89" s="31">
        <v>87500.0</v>
      </c>
      <c r="L89" s="64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71"/>
      <c r="B90" s="30" t="s">
        <v>83</v>
      </c>
      <c r="C90" s="30" t="s">
        <v>84</v>
      </c>
      <c r="D90" s="30" t="s">
        <v>85</v>
      </c>
      <c r="E90" s="30" t="s">
        <v>62</v>
      </c>
      <c r="F90" s="87" t="s">
        <v>63</v>
      </c>
      <c r="G90" s="87" t="s">
        <v>277</v>
      </c>
      <c r="H90" s="87" t="s">
        <v>278</v>
      </c>
      <c r="I90" s="34">
        <v>9.0</v>
      </c>
      <c r="J90" s="31">
        <v>3690.0</v>
      </c>
      <c r="K90" s="31">
        <v>33210.0</v>
      </c>
      <c r="L90" s="71"/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92" t="s">
        <v>279</v>
      </c>
      <c r="B91" s="30" t="s">
        <v>280</v>
      </c>
      <c r="C91" s="30" t="s">
        <v>67</v>
      </c>
      <c r="D91" s="30" t="s">
        <v>61</v>
      </c>
      <c r="E91" s="30" t="s">
        <v>70</v>
      </c>
      <c r="F91" s="87" t="s">
        <v>71</v>
      </c>
      <c r="G91" s="87" t="s">
        <v>281</v>
      </c>
      <c r="H91" s="87" t="s">
        <v>282</v>
      </c>
      <c r="I91" s="34">
        <v>2.0</v>
      </c>
      <c r="J91" s="31">
        <v>255900.0</v>
      </c>
      <c r="K91" s="31">
        <v>511800.0</v>
      </c>
      <c r="L91" s="93">
        <f>SUM(K91:K93)</f>
        <v>689550</v>
      </c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280</v>
      </c>
      <c r="C92" s="30" t="s">
        <v>67</v>
      </c>
      <c r="D92" s="30" t="s">
        <v>61</v>
      </c>
      <c r="E92" s="30" t="s">
        <v>70</v>
      </c>
      <c r="F92" s="87" t="s">
        <v>71</v>
      </c>
      <c r="G92" s="87" t="s">
        <v>283</v>
      </c>
      <c r="H92" s="87" t="s">
        <v>284</v>
      </c>
      <c r="I92" s="34">
        <v>15.0</v>
      </c>
      <c r="J92" s="31">
        <v>7490.0</v>
      </c>
      <c r="K92" s="31">
        <v>112350.0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71"/>
      <c r="B93" s="30" t="s">
        <v>280</v>
      </c>
      <c r="C93" s="30" t="s">
        <v>67</v>
      </c>
      <c r="D93" s="30" t="s">
        <v>61</v>
      </c>
      <c r="E93" s="30" t="s">
        <v>70</v>
      </c>
      <c r="F93" s="87" t="s">
        <v>71</v>
      </c>
      <c r="G93" s="87" t="s">
        <v>285</v>
      </c>
      <c r="H93" s="87" t="s">
        <v>286</v>
      </c>
      <c r="I93" s="34">
        <v>20.0</v>
      </c>
      <c r="J93" s="31">
        <v>3270.0</v>
      </c>
      <c r="K93" s="31">
        <v>65400.0</v>
      </c>
      <c r="L93" s="71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87" t="s">
        <v>287</v>
      </c>
      <c r="B94" s="148" t="s">
        <v>288</v>
      </c>
      <c r="C94" s="30" t="s">
        <v>67</v>
      </c>
      <c r="D94" s="30" t="s">
        <v>61</v>
      </c>
      <c r="E94" s="30" t="s">
        <v>70</v>
      </c>
      <c r="F94" s="87" t="s">
        <v>71</v>
      </c>
      <c r="G94" s="87" t="s">
        <v>289</v>
      </c>
      <c r="H94" s="87" t="s">
        <v>290</v>
      </c>
      <c r="I94" s="34">
        <v>10.0</v>
      </c>
      <c r="J94" s="31">
        <v>2470.0</v>
      </c>
      <c r="K94" s="31">
        <v>24700.0</v>
      </c>
      <c r="L94" s="91">
        <f t="shared" ref="L94:L96" si="8">SUM(K94)</f>
        <v>24700</v>
      </c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291</v>
      </c>
      <c r="B95" s="30" t="s">
        <v>291</v>
      </c>
      <c r="C95" s="30" t="s">
        <v>67</v>
      </c>
      <c r="D95" s="30" t="s">
        <v>61</v>
      </c>
      <c r="E95" s="30" t="s">
        <v>70</v>
      </c>
      <c r="F95" s="87" t="s">
        <v>71</v>
      </c>
      <c r="G95" s="87" t="s">
        <v>292</v>
      </c>
      <c r="H95" s="87" t="s">
        <v>293</v>
      </c>
      <c r="I95" s="34">
        <v>20.0</v>
      </c>
      <c r="J95" s="31">
        <v>6080.0</v>
      </c>
      <c r="K95" s="31">
        <v>121600.0</v>
      </c>
      <c r="L95" s="91">
        <f t="shared" si="8"/>
        <v>121600</v>
      </c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87" t="s">
        <v>88</v>
      </c>
      <c r="B96" s="148" t="s">
        <v>89</v>
      </c>
      <c r="C96" s="30" t="s">
        <v>67</v>
      </c>
      <c r="D96" s="30" t="s">
        <v>61</v>
      </c>
      <c r="E96" s="30" t="s">
        <v>70</v>
      </c>
      <c r="F96" s="87" t="s">
        <v>71</v>
      </c>
      <c r="G96" s="87" t="s">
        <v>294</v>
      </c>
      <c r="H96" s="87" t="s">
        <v>295</v>
      </c>
      <c r="I96" s="34">
        <v>12.0</v>
      </c>
      <c r="J96" s="31">
        <v>4210.0</v>
      </c>
      <c r="K96" s="31">
        <v>50520.0</v>
      </c>
      <c r="L96" s="91">
        <f t="shared" si="8"/>
        <v>50520</v>
      </c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92" t="s">
        <v>153</v>
      </c>
      <c r="B97" s="30" t="s">
        <v>296</v>
      </c>
      <c r="C97" s="30" t="s">
        <v>98</v>
      </c>
      <c r="D97" s="30" t="s">
        <v>61</v>
      </c>
      <c r="E97" s="30" t="s">
        <v>70</v>
      </c>
      <c r="F97" s="87" t="s">
        <v>71</v>
      </c>
      <c r="G97" s="87" t="s">
        <v>226</v>
      </c>
      <c r="H97" s="87" t="s">
        <v>227</v>
      </c>
      <c r="I97" s="34">
        <v>50.0</v>
      </c>
      <c r="J97" s="31">
        <v>7020.0</v>
      </c>
      <c r="K97" s="31">
        <v>351000.0</v>
      </c>
      <c r="L97" s="93">
        <f>SUM(K97:K103)</f>
        <v>615060</v>
      </c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297</v>
      </c>
      <c r="C98" s="30" t="s">
        <v>67</v>
      </c>
      <c r="D98" s="30" t="s">
        <v>105</v>
      </c>
      <c r="E98" s="30" t="s">
        <v>70</v>
      </c>
      <c r="F98" s="87" t="s">
        <v>71</v>
      </c>
      <c r="G98" s="87" t="s">
        <v>298</v>
      </c>
      <c r="H98" s="87" t="s">
        <v>299</v>
      </c>
      <c r="I98" s="34">
        <v>4.0</v>
      </c>
      <c r="J98" s="31">
        <v>7580.0</v>
      </c>
      <c r="K98" s="31">
        <v>30320.0</v>
      </c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customHeight="1">
      <c r="A99" s="64"/>
      <c r="B99" s="30" t="s">
        <v>297</v>
      </c>
      <c r="C99" s="30" t="s">
        <v>67</v>
      </c>
      <c r="D99" s="30" t="s">
        <v>105</v>
      </c>
      <c r="E99" s="30" t="s">
        <v>70</v>
      </c>
      <c r="F99" s="87" t="s">
        <v>71</v>
      </c>
      <c r="G99" s="87" t="s">
        <v>300</v>
      </c>
      <c r="H99" s="87" t="s">
        <v>301</v>
      </c>
      <c r="I99" s="34">
        <v>2.0</v>
      </c>
      <c r="J99" s="31">
        <v>8530.0</v>
      </c>
      <c r="K99" s="31">
        <v>17060.0</v>
      </c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customHeight="1">
      <c r="A100" s="64"/>
      <c r="B100" s="30" t="s">
        <v>302</v>
      </c>
      <c r="C100" s="30" t="s">
        <v>303</v>
      </c>
      <c r="D100" s="30" t="s">
        <v>148</v>
      </c>
      <c r="E100" s="30" t="s">
        <v>106</v>
      </c>
      <c r="F100" s="87" t="s">
        <v>71</v>
      </c>
      <c r="G100" s="87" t="s">
        <v>304</v>
      </c>
      <c r="H100" s="87" t="s">
        <v>305</v>
      </c>
      <c r="I100" s="34">
        <v>1.0</v>
      </c>
      <c r="J100" s="31">
        <v>42500.0</v>
      </c>
      <c r="K100" s="31">
        <v>42500.0</v>
      </c>
      <c r="L100" s="6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customHeight="1">
      <c r="A101" s="64"/>
      <c r="B101" s="30" t="s">
        <v>306</v>
      </c>
      <c r="C101" s="30" t="s">
        <v>98</v>
      </c>
      <c r="D101" s="30" t="s">
        <v>61</v>
      </c>
      <c r="E101" s="30" t="s">
        <v>62</v>
      </c>
      <c r="F101" s="87" t="s">
        <v>63</v>
      </c>
      <c r="G101" s="87" t="s">
        <v>307</v>
      </c>
      <c r="H101" s="87" t="s">
        <v>308</v>
      </c>
      <c r="I101" s="34">
        <v>24.0</v>
      </c>
      <c r="J101" s="31">
        <v>3420.0</v>
      </c>
      <c r="K101" s="31">
        <v>82080.0</v>
      </c>
      <c r="L101" s="64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customHeight="1">
      <c r="A102" s="64"/>
      <c r="B102" s="149" t="s">
        <v>309</v>
      </c>
      <c r="C102" s="30" t="s">
        <v>310</v>
      </c>
      <c r="D102" s="30" t="s">
        <v>61</v>
      </c>
      <c r="E102" s="30" t="s">
        <v>62</v>
      </c>
      <c r="F102" s="87" t="s">
        <v>63</v>
      </c>
      <c r="G102" s="87" t="s">
        <v>311</v>
      </c>
      <c r="H102" s="87" t="s">
        <v>312</v>
      </c>
      <c r="I102" s="34">
        <v>10.0</v>
      </c>
      <c r="J102" s="31">
        <v>4710.0</v>
      </c>
      <c r="K102" s="31">
        <v>47100.0</v>
      </c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customHeight="1">
      <c r="A103" s="71"/>
      <c r="B103" s="149" t="s">
        <v>309</v>
      </c>
      <c r="C103" s="30" t="s">
        <v>310</v>
      </c>
      <c r="D103" s="30" t="s">
        <v>61</v>
      </c>
      <c r="E103" s="30" t="s">
        <v>62</v>
      </c>
      <c r="F103" s="87" t="s">
        <v>63</v>
      </c>
      <c r="G103" s="87" t="s">
        <v>313</v>
      </c>
      <c r="H103" s="87" t="s">
        <v>314</v>
      </c>
      <c r="I103" s="34">
        <v>30.0</v>
      </c>
      <c r="J103" s="31">
        <v>1500.0</v>
      </c>
      <c r="K103" s="31">
        <v>45000.0</v>
      </c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customHeight="1">
      <c r="A104" s="92" t="s">
        <v>92</v>
      </c>
      <c r="B104" s="30" t="s">
        <v>315</v>
      </c>
      <c r="C104" s="30" t="s">
        <v>101</v>
      </c>
      <c r="D104" s="30" t="s">
        <v>61</v>
      </c>
      <c r="E104" s="30" t="s">
        <v>70</v>
      </c>
      <c r="F104" s="87" t="s">
        <v>29</v>
      </c>
      <c r="G104" s="87" t="s">
        <v>316</v>
      </c>
      <c r="H104" s="87" t="s">
        <v>317</v>
      </c>
      <c r="I104" s="34">
        <v>1.0</v>
      </c>
      <c r="J104" s="31">
        <v>2000.0</v>
      </c>
      <c r="K104" s="31">
        <v>2000.0</v>
      </c>
      <c r="L104" s="93">
        <f>SUM(K104:K105)</f>
        <v>304500</v>
      </c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customHeight="1">
      <c r="A105" s="71"/>
      <c r="B105" s="30" t="s">
        <v>93</v>
      </c>
      <c r="C105" s="30" t="s">
        <v>67</v>
      </c>
      <c r="D105" s="30" t="s">
        <v>61</v>
      </c>
      <c r="E105" s="30" t="s">
        <v>62</v>
      </c>
      <c r="F105" s="87" t="s">
        <v>63</v>
      </c>
      <c r="G105" s="87" t="s">
        <v>163</v>
      </c>
      <c r="H105" s="87" t="s">
        <v>164</v>
      </c>
      <c r="I105" s="34">
        <v>10.0</v>
      </c>
      <c r="J105" s="31">
        <v>30250.0</v>
      </c>
      <c r="K105" s="31">
        <v>302500.0</v>
      </c>
      <c r="L105" s="71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customHeight="1">
      <c r="A106" s="92" t="s">
        <v>96</v>
      </c>
      <c r="B106" s="30" t="s">
        <v>211</v>
      </c>
      <c r="C106" s="30" t="s">
        <v>189</v>
      </c>
      <c r="D106" s="30" t="s">
        <v>105</v>
      </c>
      <c r="E106" s="30" t="s">
        <v>62</v>
      </c>
      <c r="F106" s="87" t="s">
        <v>63</v>
      </c>
      <c r="G106" s="87" t="s">
        <v>318</v>
      </c>
      <c r="H106" s="87" t="s">
        <v>319</v>
      </c>
      <c r="I106" s="34">
        <v>92.0</v>
      </c>
      <c r="J106" s="31">
        <v>4500.0</v>
      </c>
      <c r="K106" s="31">
        <v>414000.0</v>
      </c>
      <c r="L106" s="93">
        <f>SUM(K106:K108)</f>
        <v>532600</v>
      </c>
      <c r="M106" s="142"/>
      <c r="N106" s="143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customHeight="1">
      <c r="A107" s="64"/>
      <c r="B107" s="30" t="s">
        <v>211</v>
      </c>
      <c r="C107" s="30" t="s">
        <v>189</v>
      </c>
      <c r="D107" s="30" t="s">
        <v>105</v>
      </c>
      <c r="E107" s="30" t="s">
        <v>62</v>
      </c>
      <c r="F107" s="87" t="s">
        <v>63</v>
      </c>
      <c r="G107" s="87" t="s">
        <v>320</v>
      </c>
      <c r="H107" s="87" t="s">
        <v>321</v>
      </c>
      <c r="I107" s="34">
        <v>26.0</v>
      </c>
      <c r="J107" s="31">
        <v>1100.0</v>
      </c>
      <c r="K107" s="31">
        <v>28600.0</v>
      </c>
      <c r="L107" s="64"/>
      <c r="M107" s="142"/>
      <c r="N107" s="143"/>
      <c r="O107" s="45"/>
      <c r="P107" s="46"/>
      <c r="Q107" s="46"/>
      <c r="R107" s="46"/>
      <c r="S107" s="45"/>
      <c r="T107" s="45"/>
      <c r="U107" s="45"/>
      <c r="V107" s="45"/>
      <c r="W107" s="45"/>
      <c r="X107" s="45"/>
      <c r="Y107" s="45"/>
      <c r="Z107" s="45"/>
    </row>
    <row r="108" ht="16.5" customHeight="1">
      <c r="A108" s="71"/>
      <c r="B108" s="30" t="s">
        <v>211</v>
      </c>
      <c r="C108" s="30" t="s">
        <v>189</v>
      </c>
      <c r="D108" s="30" t="s">
        <v>105</v>
      </c>
      <c r="E108" s="30" t="s">
        <v>62</v>
      </c>
      <c r="F108" s="87" t="s">
        <v>63</v>
      </c>
      <c r="G108" s="87" t="s">
        <v>318</v>
      </c>
      <c r="H108" s="87" t="s">
        <v>319</v>
      </c>
      <c r="I108" s="34">
        <v>20.0</v>
      </c>
      <c r="J108" s="31">
        <v>4500.0</v>
      </c>
      <c r="K108" s="31">
        <v>90000.0</v>
      </c>
      <c r="L108" s="71"/>
      <c r="M108" s="142"/>
      <c r="N108" s="143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customHeight="1">
      <c r="A109" s="92" t="s">
        <v>99</v>
      </c>
      <c r="B109" s="30" t="s">
        <v>100</v>
      </c>
      <c r="C109" s="30" t="s">
        <v>101</v>
      </c>
      <c r="D109" s="30" t="s">
        <v>61</v>
      </c>
      <c r="E109" s="30" t="s">
        <v>62</v>
      </c>
      <c r="F109" s="87" t="s">
        <v>63</v>
      </c>
      <c r="G109" s="87" t="s">
        <v>102</v>
      </c>
      <c r="H109" s="87" t="s">
        <v>103</v>
      </c>
      <c r="I109" s="34">
        <v>8.0</v>
      </c>
      <c r="J109" s="31">
        <v>7070.0</v>
      </c>
      <c r="K109" s="31">
        <v>56560.0</v>
      </c>
      <c r="L109" s="93">
        <f>SUM(K109:K111)</f>
        <v>1239360</v>
      </c>
      <c r="M109" s="142"/>
      <c r="N109" s="143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customHeight="1">
      <c r="A110" s="64"/>
      <c r="B110" s="30" t="s">
        <v>322</v>
      </c>
      <c r="C110" s="30" t="s">
        <v>84</v>
      </c>
      <c r="D110" s="30" t="s">
        <v>85</v>
      </c>
      <c r="E110" s="30" t="s">
        <v>62</v>
      </c>
      <c r="F110" s="87" t="s">
        <v>63</v>
      </c>
      <c r="G110" s="87" t="s">
        <v>272</v>
      </c>
      <c r="H110" s="87" t="s">
        <v>273</v>
      </c>
      <c r="I110" s="34">
        <v>400.0</v>
      </c>
      <c r="J110" s="31">
        <v>2630.0</v>
      </c>
      <c r="K110" s="31">
        <v>1052000.0</v>
      </c>
      <c r="L110" s="64"/>
      <c r="M110" s="142"/>
      <c r="N110" s="143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customHeight="1">
      <c r="A111" s="71"/>
      <c r="B111" s="148" t="s">
        <v>323</v>
      </c>
      <c r="C111" s="30" t="s">
        <v>67</v>
      </c>
      <c r="D111" s="30" t="s">
        <v>61</v>
      </c>
      <c r="E111" s="30" t="s">
        <v>62</v>
      </c>
      <c r="F111" s="87" t="s">
        <v>63</v>
      </c>
      <c r="G111" s="87" t="s">
        <v>324</v>
      </c>
      <c r="H111" s="87" t="s">
        <v>325</v>
      </c>
      <c r="I111" s="34">
        <v>60.0</v>
      </c>
      <c r="J111" s="31">
        <v>2180.0</v>
      </c>
      <c r="K111" s="31">
        <v>130800.0</v>
      </c>
      <c r="L111" s="71"/>
      <c r="M111" s="142"/>
      <c r="N111" s="143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customHeight="1">
      <c r="A112" s="92" t="s">
        <v>182</v>
      </c>
      <c r="B112" s="148" t="s">
        <v>326</v>
      </c>
      <c r="C112" s="30" t="s">
        <v>67</v>
      </c>
      <c r="D112" s="30" t="s">
        <v>61</v>
      </c>
      <c r="E112" s="30" t="s">
        <v>70</v>
      </c>
      <c r="F112" s="87" t="s">
        <v>71</v>
      </c>
      <c r="G112" s="87" t="s">
        <v>327</v>
      </c>
      <c r="H112" s="87" t="s">
        <v>328</v>
      </c>
      <c r="I112" s="34">
        <v>2.0</v>
      </c>
      <c r="J112" s="31">
        <v>249400.0</v>
      </c>
      <c r="K112" s="31">
        <v>498800.0</v>
      </c>
      <c r="L112" s="93">
        <f>SUM(K112:K122)</f>
        <v>1619320</v>
      </c>
      <c r="M112" s="142"/>
      <c r="N112" s="143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customHeight="1">
      <c r="A113" s="64"/>
      <c r="B113" s="30" t="s">
        <v>329</v>
      </c>
      <c r="C113" s="30" t="s">
        <v>98</v>
      </c>
      <c r="D113" s="30" t="s">
        <v>61</v>
      </c>
      <c r="E113" s="30" t="s">
        <v>70</v>
      </c>
      <c r="F113" s="87" t="s">
        <v>71</v>
      </c>
      <c r="G113" s="87" t="s">
        <v>330</v>
      </c>
      <c r="H113" s="87" t="s">
        <v>331</v>
      </c>
      <c r="I113" s="34">
        <v>50.0</v>
      </c>
      <c r="J113" s="31">
        <v>4050.0</v>
      </c>
      <c r="K113" s="31">
        <v>202500.0</v>
      </c>
      <c r="L113" s="64"/>
      <c r="M113" s="142"/>
      <c r="N113" s="143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customHeight="1">
      <c r="A114" s="64"/>
      <c r="B114" s="30" t="s">
        <v>332</v>
      </c>
      <c r="C114" s="30" t="s">
        <v>333</v>
      </c>
      <c r="D114" s="30" t="s">
        <v>61</v>
      </c>
      <c r="E114" s="30" t="s">
        <v>70</v>
      </c>
      <c r="F114" s="87" t="s">
        <v>71</v>
      </c>
      <c r="G114" s="87" t="s">
        <v>334</v>
      </c>
      <c r="H114" s="87" t="s">
        <v>335</v>
      </c>
      <c r="I114" s="34">
        <v>3.0</v>
      </c>
      <c r="J114" s="31">
        <v>50600.0</v>
      </c>
      <c r="K114" s="31">
        <v>151800.0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336</v>
      </c>
      <c r="C115" s="30" t="s">
        <v>98</v>
      </c>
      <c r="D115" s="30" t="s">
        <v>85</v>
      </c>
      <c r="E115" s="30" t="s">
        <v>70</v>
      </c>
      <c r="F115" s="87" t="s">
        <v>71</v>
      </c>
      <c r="G115" s="87" t="s">
        <v>337</v>
      </c>
      <c r="H115" s="87" t="s">
        <v>338</v>
      </c>
      <c r="I115" s="34">
        <v>30.0</v>
      </c>
      <c r="J115" s="31">
        <v>2650.0</v>
      </c>
      <c r="K115" s="31">
        <v>79500.0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339</v>
      </c>
      <c r="C116" s="30" t="s">
        <v>340</v>
      </c>
      <c r="D116" s="30" t="s">
        <v>61</v>
      </c>
      <c r="E116" s="30" t="s">
        <v>70</v>
      </c>
      <c r="F116" s="87" t="s">
        <v>71</v>
      </c>
      <c r="G116" s="87" t="s">
        <v>341</v>
      </c>
      <c r="H116" s="87" t="s">
        <v>342</v>
      </c>
      <c r="I116" s="34">
        <v>8.0</v>
      </c>
      <c r="J116" s="31">
        <v>7490.0</v>
      </c>
      <c r="K116" s="31">
        <v>59920.0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343</v>
      </c>
      <c r="C117" s="30" t="s">
        <v>67</v>
      </c>
      <c r="D117" s="30" t="s">
        <v>85</v>
      </c>
      <c r="E117" s="30" t="s">
        <v>70</v>
      </c>
      <c r="F117" s="87" t="s">
        <v>71</v>
      </c>
      <c r="G117" s="87" t="s">
        <v>344</v>
      </c>
      <c r="H117" s="87" t="s">
        <v>345</v>
      </c>
      <c r="I117" s="34">
        <v>2.0</v>
      </c>
      <c r="J117" s="31">
        <v>174000.0</v>
      </c>
      <c r="K117" s="31">
        <v>348000.0</v>
      </c>
      <c r="L117" s="64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64"/>
      <c r="B118" s="30" t="s">
        <v>339</v>
      </c>
      <c r="C118" s="30" t="s">
        <v>340</v>
      </c>
      <c r="D118" s="30" t="s">
        <v>61</v>
      </c>
      <c r="E118" s="30" t="s">
        <v>62</v>
      </c>
      <c r="F118" s="87" t="s">
        <v>63</v>
      </c>
      <c r="G118" s="87" t="s">
        <v>346</v>
      </c>
      <c r="H118" s="87" t="s">
        <v>347</v>
      </c>
      <c r="I118" s="34">
        <v>100.0</v>
      </c>
      <c r="J118" s="31">
        <v>1300.0</v>
      </c>
      <c r="K118" s="31">
        <v>130000.0</v>
      </c>
      <c r="L118" s="64"/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64"/>
      <c r="B119" s="30" t="s">
        <v>339</v>
      </c>
      <c r="C119" s="30" t="s">
        <v>340</v>
      </c>
      <c r="D119" s="30" t="s">
        <v>61</v>
      </c>
      <c r="E119" s="30" t="s">
        <v>62</v>
      </c>
      <c r="F119" s="87" t="s">
        <v>63</v>
      </c>
      <c r="G119" s="87" t="s">
        <v>348</v>
      </c>
      <c r="H119" s="87" t="s">
        <v>349</v>
      </c>
      <c r="I119" s="34">
        <v>40.0</v>
      </c>
      <c r="J119" s="31">
        <v>1500.0</v>
      </c>
      <c r="K119" s="31">
        <v>60000.0</v>
      </c>
      <c r="L119" s="64"/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64"/>
      <c r="B120" s="30" t="s">
        <v>339</v>
      </c>
      <c r="C120" s="30" t="s">
        <v>340</v>
      </c>
      <c r="D120" s="30" t="s">
        <v>61</v>
      </c>
      <c r="E120" s="30" t="s">
        <v>62</v>
      </c>
      <c r="F120" s="87" t="s">
        <v>63</v>
      </c>
      <c r="G120" s="87" t="s">
        <v>350</v>
      </c>
      <c r="H120" s="87" t="s">
        <v>351</v>
      </c>
      <c r="I120" s="34">
        <v>10.0</v>
      </c>
      <c r="J120" s="31">
        <v>1400.0</v>
      </c>
      <c r="K120" s="31">
        <v>14000.0</v>
      </c>
      <c r="L120" s="64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customHeight="1">
      <c r="A121" s="64"/>
      <c r="B121" s="30" t="s">
        <v>339</v>
      </c>
      <c r="C121" s="30" t="s">
        <v>340</v>
      </c>
      <c r="D121" s="30" t="s">
        <v>61</v>
      </c>
      <c r="E121" s="30" t="s">
        <v>62</v>
      </c>
      <c r="F121" s="87" t="s">
        <v>63</v>
      </c>
      <c r="G121" s="87" t="s">
        <v>352</v>
      </c>
      <c r="H121" s="87" t="s">
        <v>353</v>
      </c>
      <c r="I121" s="34">
        <v>8.0</v>
      </c>
      <c r="J121" s="31">
        <v>1850.0</v>
      </c>
      <c r="K121" s="31">
        <v>14800.0</v>
      </c>
      <c r="L121" s="64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customHeight="1">
      <c r="A122" s="71"/>
      <c r="B122" s="30" t="s">
        <v>339</v>
      </c>
      <c r="C122" s="30" t="s">
        <v>340</v>
      </c>
      <c r="D122" s="30" t="s">
        <v>61</v>
      </c>
      <c r="E122" s="30" t="s">
        <v>62</v>
      </c>
      <c r="F122" s="87" t="s">
        <v>63</v>
      </c>
      <c r="G122" s="87" t="s">
        <v>348</v>
      </c>
      <c r="H122" s="87" t="s">
        <v>349</v>
      </c>
      <c r="I122" s="34">
        <v>40.0</v>
      </c>
      <c r="J122" s="31">
        <v>1500.0</v>
      </c>
      <c r="K122" s="31">
        <v>60000.0</v>
      </c>
      <c r="L122" s="71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7.25" customHeight="1">
      <c r="A123" s="150" t="str">
        <f>MID(CELL("filename",$A$1),FIND("]",CELL("filename",$A$1))+1,100)&amp;" TOTAL"</f>
        <v>#VALUE!</v>
      </c>
      <c r="B123" s="151"/>
      <c r="C123" s="151"/>
      <c r="D123" s="151"/>
      <c r="E123" s="151"/>
      <c r="F123" s="97"/>
      <c r="G123" s="97"/>
      <c r="H123" s="97"/>
      <c r="I123" s="151"/>
      <c r="J123" s="152"/>
      <c r="K123" s="100">
        <f t="shared" ref="K123:L123" si="9">SUM(K72:K122)</f>
        <v>33951320</v>
      </c>
      <c r="L123" s="100">
        <f t="shared" si="9"/>
        <v>33951320</v>
      </c>
      <c r="M123" s="153"/>
      <c r="N123" s="15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70"/>
      <c r="I129" s="42"/>
      <c r="J129" s="42"/>
      <c r="K129" s="42"/>
      <c r="L129" s="42"/>
      <c r="M129" s="43"/>
      <c r="N129" s="44"/>
      <c r="O129" s="45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155"/>
      <c r="K130" s="42"/>
      <c r="L130" s="42"/>
      <c r="M130" s="43"/>
      <c r="N130" s="44"/>
      <c r="O130" s="45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155"/>
      <c r="K131" s="42"/>
      <c r="L131" s="42"/>
      <c r="M131" s="43"/>
      <c r="N131" s="44"/>
      <c r="O131" s="45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1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1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1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1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60:J60"/>
    <mergeCell ref="A70:N70"/>
    <mergeCell ref="M71:N71"/>
    <mergeCell ref="A73:A74"/>
    <mergeCell ref="A76:A78"/>
    <mergeCell ref="A79:A90"/>
    <mergeCell ref="A91:A93"/>
    <mergeCell ref="A97:A103"/>
    <mergeCell ref="L97:L103"/>
    <mergeCell ref="A104:A105"/>
    <mergeCell ref="L104:L105"/>
    <mergeCell ref="A106:A108"/>
    <mergeCell ref="L106:L108"/>
    <mergeCell ref="L109:L111"/>
    <mergeCell ref="A11:B11"/>
    <mergeCell ref="D11:E11"/>
    <mergeCell ref="A12:B12"/>
    <mergeCell ref="D12:E12"/>
    <mergeCell ref="A13:B13"/>
    <mergeCell ref="D13:E13"/>
    <mergeCell ref="A51:A52"/>
    <mergeCell ref="B51:B52"/>
    <mergeCell ref="A1:F1"/>
    <mergeCell ref="A2:E2"/>
    <mergeCell ref="A7:F7"/>
    <mergeCell ref="A8:C8"/>
    <mergeCell ref="D8:F8"/>
    <mergeCell ref="A9:B9"/>
    <mergeCell ref="A10:B10"/>
    <mergeCell ref="L51:L52"/>
    <mergeCell ref="L56:L59"/>
    <mergeCell ref="D9:E9"/>
    <mergeCell ref="D10:E10"/>
    <mergeCell ref="C18:C20"/>
    <mergeCell ref="D18:D20"/>
    <mergeCell ref="C26:C28"/>
    <mergeCell ref="A38:N38"/>
    <mergeCell ref="A53:J53"/>
    <mergeCell ref="L76:L78"/>
    <mergeCell ref="L79:L90"/>
    <mergeCell ref="L73:L74"/>
    <mergeCell ref="L91:L93"/>
    <mergeCell ref="L112:L122"/>
    <mergeCell ref="A109:A111"/>
    <mergeCell ref="A112:A122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354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19</v>
      </c>
      <c r="B12" s="3"/>
      <c r="C12" s="49">
        <v>5.341173E7</v>
      </c>
      <c r="D12" s="48" t="s">
        <v>19</v>
      </c>
      <c r="E12" s="3"/>
      <c r="F12" s="49">
        <v>6.549809E7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20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21</v>
      </c>
      <c r="B15" s="56" t="s">
        <v>355</v>
      </c>
      <c r="C15" s="56" t="s">
        <v>23</v>
      </c>
      <c r="D15" s="57" t="s">
        <v>24</v>
      </c>
      <c r="E15" s="56" t="s">
        <v>25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26</v>
      </c>
      <c r="B16" s="61">
        <f>SUMIF(F39:F51,"RED",M39:M51)</f>
        <v>1302100</v>
      </c>
      <c r="C16" s="61">
        <f>L60*C36</f>
        <v>0</v>
      </c>
      <c r="D16" s="61">
        <f>L67*D36</f>
        <v>0</v>
      </c>
      <c r="E16" s="61">
        <f>SUM(B16:D16)</f>
        <v>1302100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27</v>
      </c>
      <c r="B17" s="61">
        <f>SUMIF(F39:F51,"BLUE",M39:M51)</f>
        <v>4587980</v>
      </c>
      <c r="C17" s="62"/>
      <c r="D17" s="62"/>
      <c r="E17" s="61">
        <f t="shared" ref="E17:E19" si="1">SUM(B17:C17)</f>
        <v>4587980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28</v>
      </c>
      <c r="B18" s="61">
        <f>SUMIF(F39:F51,"OEM",M39:M51)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29</v>
      </c>
      <c r="B19" s="61">
        <f>SUMIF(F39:F51,"NO LOGO",M39:M51)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356</v>
      </c>
      <c r="B20" s="66">
        <f>SUM(B16:B19)</f>
        <v>5890080</v>
      </c>
      <c r="C20" s="66">
        <f t="shared" ref="C20:D20" si="2">C16</f>
        <v>0</v>
      </c>
      <c r="D20" s="66">
        <f t="shared" si="2"/>
        <v>0</v>
      </c>
      <c r="E20" s="66">
        <f>SUM(E16:E19)</f>
        <v>5890080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31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21</v>
      </c>
      <c r="B23" s="56" t="s">
        <v>357</v>
      </c>
      <c r="C23" s="56" t="s">
        <v>23</v>
      </c>
      <c r="D23" s="56" t="s">
        <v>25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26</v>
      </c>
      <c r="B24" s="61">
        <f>SUMIFS(K72:K173,O72:O173,"&lt;&gt;"&amp;"CONVUM",O72:O173,"&lt;&gt;"&amp;"MYOTOKU CHINA",F72:F173,"RED")</f>
        <v>0</v>
      </c>
      <c r="C24" s="61">
        <f>SUMIFS(K72:K173,O72:O173,"CONVUM",F72:F173,"RED")</f>
        <v>0</v>
      </c>
      <c r="D24" s="61">
        <f t="shared" ref="D24:D27" si="3">SUM(B24:C24)</f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27</v>
      </c>
      <c r="B25" s="61">
        <f>SUMIFS(K72:K173,O72:O173,"&lt;&gt;"&amp;"CONVUM",O72:O173,"&lt;&gt;"&amp;"MYOTOKU CHINA",F72:F173,"BLUE")</f>
        <v>0</v>
      </c>
      <c r="C25" s="62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28</v>
      </c>
      <c r="B26" s="61">
        <f>SUMIFS(K72:K173,O72:O173,"&lt;&gt;"&amp;"CONVUM",O72:O173,"&lt;&gt;"&amp;"MYOTOKU CHINA",F72:F173,"OEM")</f>
        <v>0</v>
      </c>
      <c r="C26" s="64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29</v>
      </c>
      <c r="B27" s="61">
        <f>SUMIFS(K72:K173,O72:O173,"&lt;&gt;"&amp;"CONVUM",O72:O173,"&lt;&gt;"&amp;"MYOTOKU CHINA",F72:F173,"NO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358</v>
      </c>
      <c r="B28" s="66">
        <f>SUM(B24:B27)</f>
        <v>0</v>
      </c>
      <c r="C28" s="66">
        <f>C24</f>
        <v>0</v>
      </c>
      <c r="D28" s="66">
        <f>SUM(D24:D27)</f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359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21</v>
      </c>
      <c r="B31" s="56" t="s">
        <v>360</v>
      </c>
      <c r="C31" s="56" t="s">
        <v>23</v>
      </c>
      <c r="D31" s="57" t="s">
        <v>24</v>
      </c>
      <c r="E31" s="56" t="s">
        <v>25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36</v>
      </c>
      <c r="B32" s="61">
        <v>1.4907772E8</v>
      </c>
      <c r="C32" s="61">
        <f>3868500*C36</f>
        <v>36259063.65</v>
      </c>
      <c r="D32" s="61">
        <f>0*D36</f>
        <v>0</v>
      </c>
      <c r="E32" s="61">
        <f t="shared" ref="E32:E34" si="4">SUM(B32:D32)</f>
        <v>185336783.7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37</v>
      </c>
      <c r="B33" s="61">
        <v>4715000.0</v>
      </c>
      <c r="C33" s="61">
        <f>4126500*C36</f>
        <v>38677271.85</v>
      </c>
      <c r="D33" s="61">
        <f>0*D36</f>
        <v>0</v>
      </c>
      <c r="E33" s="61">
        <f t="shared" si="4"/>
        <v>43392271.85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38</v>
      </c>
      <c r="B34" s="61">
        <v>1.1128736E8</v>
      </c>
      <c r="C34" s="61">
        <f>6560000*C36</f>
        <v>61486224</v>
      </c>
      <c r="D34" s="61">
        <v>0.0</v>
      </c>
      <c r="E34" s="61">
        <f t="shared" si="4"/>
        <v>172773584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361</v>
      </c>
      <c r="B35" s="66">
        <f t="shared" ref="B35:E35" si="5">SUM(B32:B34)</f>
        <v>265080080</v>
      </c>
      <c r="C35" s="66">
        <f t="shared" si="5"/>
        <v>136422559.5</v>
      </c>
      <c r="D35" s="66">
        <f t="shared" si="5"/>
        <v>0</v>
      </c>
      <c r="E35" s="66">
        <f t="shared" si="5"/>
        <v>401502639.5</v>
      </c>
      <c r="F35" s="43"/>
      <c r="G35" s="58"/>
      <c r="H35" s="43"/>
      <c r="I35" s="44"/>
      <c r="J35" s="42"/>
      <c r="K35" s="75" t="s">
        <v>40</v>
      </c>
      <c r="L35" s="75" t="s">
        <v>41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42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43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44</v>
      </c>
      <c r="B38" s="82" t="s">
        <v>45</v>
      </c>
      <c r="C38" s="82" t="s">
        <v>46</v>
      </c>
      <c r="D38" s="82" t="s">
        <v>47</v>
      </c>
      <c r="E38" s="82" t="s">
        <v>48</v>
      </c>
      <c r="F38" s="82" t="s">
        <v>49</v>
      </c>
      <c r="G38" s="82" t="s">
        <v>50</v>
      </c>
      <c r="H38" s="83" t="s">
        <v>51</v>
      </c>
      <c r="I38" s="82" t="s">
        <v>52</v>
      </c>
      <c r="J38" s="84" t="s">
        <v>53</v>
      </c>
      <c r="K38" s="66" t="s">
        <v>362</v>
      </c>
      <c r="L38" s="85" t="s">
        <v>55</v>
      </c>
      <c r="M38" s="86" t="s">
        <v>56</v>
      </c>
      <c r="N38" s="86" t="s">
        <v>57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87" t="s">
        <v>201</v>
      </c>
      <c r="B39" s="30" t="s">
        <v>202</v>
      </c>
      <c r="C39" s="30" t="s">
        <v>67</v>
      </c>
      <c r="D39" s="30" t="s">
        <v>105</v>
      </c>
      <c r="E39" s="30" t="s">
        <v>185</v>
      </c>
      <c r="F39" s="87" t="s">
        <v>63</v>
      </c>
      <c r="G39" s="87" t="s">
        <v>203</v>
      </c>
      <c r="H39" s="87" t="s">
        <v>204</v>
      </c>
      <c r="I39" s="30"/>
      <c r="J39" s="35">
        <v>4.0</v>
      </c>
      <c r="K39" s="89" t="s">
        <v>41</v>
      </c>
      <c r="L39" s="90">
        <v>364000.0</v>
      </c>
      <c r="M39" s="31">
        <v>1456000.0</v>
      </c>
      <c r="N39" s="87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82</v>
      </c>
      <c r="B40" s="30" t="s">
        <v>139</v>
      </c>
      <c r="C40" s="30" t="s">
        <v>140</v>
      </c>
      <c r="D40" s="30" t="s">
        <v>105</v>
      </c>
      <c r="E40" s="30" t="s">
        <v>70</v>
      </c>
      <c r="F40" s="87" t="s">
        <v>71</v>
      </c>
      <c r="G40" s="87" t="s">
        <v>363</v>
      </c>
      <c r="H40" s="87" t="s">
        <v>364</v>
      </c>
      <c r="I40" s="30"/>
      <c r="J40" s="35">
        <v>5.0</v>
      </c>
      <c r="K40" s="89" t="s">
        <v>40</v>
      </c>
      <c r="L40" s="90">
        <v>45800.0</v>
      </c>
      <c r="M40" s="31">
        <v>229000.0</v>
      </c>
      <c r="N40" s="87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287</v>
      </c>
      <c r="B41" s="30" t="s">
        <v>365</v>
      </c>
      <c r="C41" s="30" t="s">
        <v>67</v>
      </c>
      <c r="D41" s="30" t="s">
        <v>61</v>
      </c>
      <c r="E41" s="30" t="s">
        <v>70</v>
      </c>
      <c r="F41" s="87" t="s">
        <v>63</v>
      </c>
      <c r="G41" s="87" t="s">
        <v>366</v>
      </c>
      <c r="H41" s="87" t="s">
        <v>367</v>
      </c>
      <c r="I41" s="30"/>
      <c r="J41" s="35">
        <v>50.0</v>
      </c>
      <c r="K41" s="89" t="s">
        <v>41</v>
      </c>
      <c r="L41" s="90">
        <v>4200.0</v>
      </c>
      <c r="M41" s="31">
        <v>210000.0</v>
      </c>
      <c r="N41" s="87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92" t="s">
        <v>153</v>
      </c>
      <c r="B42" s="30" t="s">
        <v>306</v>
      </c>
      <c r="C42" s="30" t="s">
        <v>98</v>
      </c>
      <c r="D42" s="30" t="s">
        <v>61</v>
      </c>
      <c r="E42" s="30" t="s">
        <v>62</v>
      </c>
      <c r="F42" s="87" t="s">
        <v>63</v>
      </c>
      <c r="G42" s="87" t="s">
        <v>307</v>
      </c>
      <c r="H42" s="87" t="s">
        <v>308</v>
      </c>
      <c r="I42" s="30"/>
      <c r="J42" s="35">
        <v>24.0</v>
      </c>
      <c r="K42" s="89" t="s">
        <v>40</v>
      </c>
      <c r="L42" s="90">
        <v>3420.0</v>
      </c>
      <c r="M42" s="31">
        <v>82080.0</v>
      </c>
      <c r="N42" s="92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149" t="s">
        <v>309</v>
      </c>
      <c r="C43" s="30" t="s">
        <v>310</v>
      </c>
      <c r="D43" s="30" t="s">
        <v>61</v>
      </c>
      <c r="E43" s="30" t="s">
        <v>62</v>
      </c>
      <c r="F43" s="87" t="s">
        <v>63</v>
      </c>
      <c r="G43" s="87" t="s">
        <v>313</v>
      </c>
      <c r="H43" s="87" t="s">
        <v>314</v>
      </c>
      <c r="I43" s="30"/>
      <c r="J43" s="35">
        <v>30.0</v>
      </c>
      <c r="K43" s="89" t="s">
        <v>41</v>
      </c>
      <c r="L43" s="90">
        <v>1500.0</v>
      </c>
      <c r="M43" s="31">
        <v>45000.0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149" t="s">
        <v>309</v>
      </c>
      <c r="C44" s="30" t="s">
        <v>310</v>
      </c>
      <c r="D44" s="30" t="s">
        <v>61</v>
      </c>
      <c r="E44" s="30" t="s">
        <v>62</v>
      </c>
      <c r="F44" s="87" t="s">
        <v>63</v>
      </c>
      <c r="G44" s="87" t="s">
        <v>311</v>
      </c>
      <c r="H44" s="87" t="s">
        <v>312</v>
      </c>
      <c r="I44" s="30"/>
      <c r="J44" s="35">
        <v>10.0</v>
      </c>
      <c r="K44" s="89" t="s">
        <v>41</v>
      </c>
      <c r="L44" s="90">
        <v>4710.0</v>
      </c>
      <c r="M44" s="31">
        <v>47100.0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96</v>
      </c>
      <c r="B45" s="30" t="s">
        <v>211</v>
      </c>
      <c r="C45" s="30" t="s">
        <v>189</v>
      </c>
      <c r="D45" s="30" t="s">
        <v>105</v>
      </c>
      <c r="E45" s="30" t="s">
        <v>62</v>
      </c>
      <c r="F45" s="87" t="s">
        <v>63</v>
      </c>
      <c r="G45" s="87" t="s">
        <v>318</v>
      </c>
      <c r="H45" s="87" t="s">
        <v>319</v>
      </c>
      <c r="I45" s="30"/>
      <c r="J45" s="35">
        <v>20.0</v>
      </c>
      <c r="K45" s="89" t="s">
        <v>41</v>
      </c>
      <c r="L45" s="90">
        <v>4500.0</v>
      </c>
      <c r="M45" s="31">
        <v>90000.0</v>
      </c>
      <c r="N45" s="87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2" t="s">
        <v>99</v>
      </c>
      <c r="B46" s="148" t="s">
        <v>368</v>
      </c>
      <c r="C46" s="30" t="s">
        <v>369</v>
      </c>
      <c r="D46" s="30" t="s">
        <v>61</v>
      </c>
      <c r="E46" s="30" t="s">
        <v>106</v>
      </c>
      <c r="F46" s="87" t="s">
        <v>71</v>
      </c>
      <c r="G46" s="87" t="s">
        <v>370</v>
      </c>
      <c r="H46" s="87" t="s">
        <v>371</v>
      </c>
      <c r="I46" s="30"/>
      <c r="J46" s="35">
        <v>30.0</v>
      </c>
      <c r="K46" s="89" t="s">
        <v>41</v>
      </c>
      <c r="L46" s="90">
        <v>32340.0</v>
      </c>
      <c r="M46" s="31">
        <v>970200.0</v>
      </c>
      <c r="N46" s="92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322</v>
      </c>
      <c r="C47" s="30" t="s">
        <v>84</v>
      </c>
      <c r="D47" s="30" t="s">
        <v>85</v>
      </c>
      <c r="E47" s="30" t="s">
        <v>62</v>
      </c>
      <c r="F47" s="87" t="s">
        <v>63</v>
      </c>
      <c r="G47" s="87" t="s">
        <v>272</v>
      </c>
      <c r="H47" s="87" t="s">
        <v>273</v>
      </c>
      <c r="I47" s="30"/>
      <c r="J47" s="35">
        <v>400.0</v>
      </c>
      <c r="K47" s="89" t="s">
        <v>41</v>
      </c>
      <c r="L47" s="90">
        <v>2630.0</v>
      </c>
      <c r="M47" s="31">
        <v>1052000.0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148" t="s">
        <v>323</v>
      </c>
      <c r="C48" s="30" t="s">
        <v>67</v>
      </c>
      <c r="D48" s="30" t="s">
        <v>61</v>
      </c>
      <c r="E48" s="30" t="s">
        <v>62</v>
      </c>
      <c r="F48" s="87" t="s">
        <v>63</v>
      </c>
      <c r="G48" s="87" t="s">
        <v>324</v>
      </c>
      <c r="H48" s="87" t="s">
        <v>325</v>
      </c>
      <c r="I48" s="30"/>
      <c r="J48" s="35">
        <v>60.0</v>
      </c>
      <c r="K48" s="89" t="s">
        <v>40</v>
      </c>
      <c r="L48" s="90">
        <v>2180.0</v>
      </c>
      <c r="M48" s="31">
        <v>130800.0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2" t="s">
        <v>182</v>
      </c>
      <c r="B49" s="30" t="s">
        <v>339</v>
      </c>
      <c r="C49" s="30" t="s">
        <v>340</v>
      </c>
      <c r="D49" s="30" t="s">
        <v>61</v>
      </c>
      <c r="E49" s="30" t="s">
        <v>62</v>
      </c>
      <c r="F49" s="87" t="s">
        <v>63</v>
      </c>
      <c r="G49" s="87" t="s">
        <v>348</v>
      </c>
      <c r="H49" s="87" t="s">
        <v>349</v>
      </c>
      <c r="I49" s="30"/>
      <c r="J49" s="35">
        <v>40.0</v>
      </c>
      <c r="K49" s="89" t="s">
        <v>41</v>
      </c>
      <c r="L49" s="90">
        <v>1500.0</v>
      </c>
      <c r="M49" s="31">
        <v>60000.0</v>
      </c>
      <c r="N49" s="92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372</v>
      </c>
      <c r="C50" s="30" t="s">
        <v>98</v>
      </c>
      <c r="D50" s="30" t="s">
        <v>85</v>
      </c>
      <c r="E50" s="30" t="s">
        <v>106</v>
      </c>
      <c r="F50" s="87" t="s">
        <v>63</v>
      </c>
      <c r="G50" s="87" t="s">
        <v>373</v>
      </c>
      <c r="H50" s="87" t="s">
        <v>374</v>
      </c>
      <c r="I50" s="30"/>
      <c r="J50" s="35">
        <v>250.0</v>
      </c>
      <c r="K50" s="89" t="s">
        <v>40</v>
      </c>
      <c r="L50" s="90">
        <v>5660.0</v>
      </c>
      <c r="M50" s="31">
        <v>1415000.0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375</v>
      </c>
      <c r="C51" s="30" t="s">
        <v>98</v>
      </c>
      <c r="D51" s="30" t="s">
        <v>148</v>
      </c>
      <c r="E51" s="30" t="s">
        <v>70</v>
      </c>
      <c r="F51" s="87" t="s">
        <v>71</v>
      </c>
      <c r="G51" s="87" t="s">
        <v>376</v>
      </c>
      <c r="H51" s="87" t="s">
        <v>377</v>
      </c>
      <c r="I51" s="30"/>
      <c r="J51" s="35">
        <v>30.0</v>
      </c>
      <c r="K51" s="89" t="s">
        <v>40</v>
      </c>
      <c r="L51" s="90">
        <v>3430.0</v>
      </c>
      <c r="M51" s="31">
        <v>102900.0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0" customHeight="1">
      <c r="A52" s="95" t="str">
        <f>MID(CELL("filename",$A$1),FIND("]",CELL("filename",$A$1))+1,100)&amp;" TOTAL"</f>
        <v>#VALUE!</v>
      </c>
      <c r="B52" s="96"/>
      <c r="C52" s="96"/>
      <c r="D52" s="96"/>
      <c r="E52" s="96"/>
      <c r="F52" s="96"/>
      <c r="G52" s="97"/>
      <c r="H52" s="97"/>
      <c r="I52" s="96"/>
      <c r="J52" s="96"/>
      <c r="K52" s="98"/>
      <c r="L52" s="99"/>
      <c r="M52" s="66">
        <f t="shared" ref="M52:N52" si="6">SUM(M39:M51)</f>
        <v>5890080</v>
      </c>
      <c r="N52" s="100">
        <f t="shared" si="6"/>
        <v>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101"/>
      <c r="B53" s="102"/>
      <c r="C53" s="102"/>
      <c r="D53" s="102"/>
      <c r="E53" s="102"/>
      <c r="F53" s="102"/>
      <c r="G53" s="102"/>
      <c r="H53" s="103"/>
      <c r="I53" s="102"/>
      <c r="J53" s="102"/>
      <c r="K53" s="102"/>
      <c r="L53" s="104"/>
      <c r="M53" s="105"/>
      <c r="N53" s="104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0.25" customHeight="1">
      <c r="A54" s="101" t="s">
        <v>109</v>
      </c>
      <c r="B54" s="106"/>
      <c r="C54" s="107"/>
      <c r="D54" s="107"/>
      <c r="E54" s="107"/>
      <c r="F54" s="107"/>
      <c r="G54" s="107"/>
      <c r="H54" s="108"/>
      <c r="I54" s="107"/>
      <c r="J54" s="107"/>
      <c r="K54" s="43"/>
      <c r="L54" s="109"/>
      <c r="M54" s="43"/>
      <c r="N54" s="109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1"/>
      <c r="B55" s="106"/>
      <c r="C55" s="107"/>
      <c r="D55" s="107"/>
      <c r="E55" s="107"/>
      <c r="F55" s="107"/>
      <c r="G55" s="107"/>
      <c r="H55" s="108"/>
      <c r="I55" s="107"/>
      <c r="J55" s="107"/>
      <c r="K55" s="43"/>
      <c r="L55" s="109"/>
      <c r="M55" s="43"/>
      <c r="N55" s="109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10" t="s">
        <v>110</v>
      </c>
      <c r="B56" s="67"/>
      <c r="C56" s="67"/>
      <c r="D56" s="101"/>
      <c r="E56" s="67"/>
      <c r="F56" s="67"/>
      <c r="G56" s="67"/>
      <c r="H56" s="111"/>
      <c r="I56" s="112"/>
      <c r="J56" s="112"/>
      <c r="K56" s="112"/>
      <c r="L56" s="112"/>
      <c r="M56" s="68"/>
      <c r="N56" s="113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57" t="s">
        <v>44</v>
      </c>
      <c r="B57" s="57" t="s">
        <v>45</v>
      </c>
      <c r="C57" s="57" t="s">
        <v>46</v>
      </c>
      <c r="D57" s="57" t="s">
        <v>378</v>
      </c>
      <c r="E57" s="57" t="s">
        <v>48</v>
      </c>
      <c r="F57" s="57" t="s">
        <v>112</v>
      </c>
      <c r="G57" s="57" t="s">
        <v>50</v>
      </c>
      <c r="H57" s="57" t="s">
        <v>51</v>
      </c>
      <c r="I57" s="57" t="s">
        <v>53</v>
      </c>
      <c r="J57" s="57" t="s">
        <v>113</v>
      </c>
      <c r="K57" s="57" t="s">
        <v>114</v>
      </c>
      <c r="L57" s="114" t="s">
        <v>115</v>
      </c>
      <c r="M57" s="114" t="s">
        <v>116</v>
      </c>
      <c r="N57" s="58"/>
      <c r="O57" s="115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6.5" hidden="1" customHeight="1">
      <c r="A58" s="92"/>
      <c r="B58" s="117"/>
      <c r="C58" s="88"/>
      <c r="D58" s="30"/>
      <c r="E58" s="30"/>
      <c r="F58" s="87"/>
      <c r="G58" s="87"/>
      <c r="H58" s="87"/>
      <c r="I58" s="34"/>
      <c r="J58" s="118"/>
      <c r="K58" s="118"/>
      <c r="L58" s="119"/>
      <c r="M58" s="120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71"/>
      <c r="B59" s="71"/>
      <c r="C59" s="88"/>
      <c r="D59" s="30"/>
      <c r="E59" s="30"/>
      <c r="F59" s="87"/>
      <c r="G59" s="87"/>
      <c r="H59" s="87"/>
      <c r="I59" s="31"/>
      <c r="J59" s="118"/>
      <c r="K59" s="118"/>
      <c r="L59" s="64"/>
      <c r="M59" s="120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21" t="str">
        <f>A52</f>
        <v>#VALUE!</v>
      </c>
      <c r="B60" s="2"/>
      <c r="C60" s="2"/>
      <c r="D60" s="2"/>
      <c r="E60" s="2"/>
      <c r="F60" s="2"/>
      <c r="G60" s="2"/>
      <c r="H60" s="2"/>
      <c r="I60" s="2"/>
      <c r="J60" s="3"/>
      <c r="K60" s="122">
        <f>SUM(K58:K59)</f>
        <v>0</v>
      </c>
      <c r="L60" s="123">
        <f>SUM(L58)</f>
        <v>0</v>
      </c>
      <c r="M60" s="56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1"/>
      <c r="B61" s="67"/>
      <c r="C61" s="67"/>
      <c r="D61" s="101"/>
      <c r="E61" s="67"/>
      <c r="F61" s="67"/>
      <c r="G61" s="67"/>
      <c r="H61" s="111"/>
      <c r="I61" s="112"/>
      <c r="J61" s="112"/>
      <c r="K61" s="112"/>
      <c r="L61" s="112"/>
      <c r="M61" s="68"/>
      <c r="N61" s="1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57" t="s">
        <v>44</v>
      </c>
      <c r="B62" s="57" t="s">
        <v>45</v>
      </c>
      <c r="C62" s="57" t="s">
        <v>46</v>
      </c>
      <c r="D62" s="57" t="s">
        <v>379</v>
      </c>
      <c r="E62" s="57" t="s">
        <v>48</v>
      </c>
      <c r="F62" s="57" t="s">
        <v>118</v>
      </c>
      <c r="G62" s="57" t="s">
        <v>50</v>
      </c>
      <c r="H62" s="57" t="s">
        <v>51</v>
      </c>
      <c r="I62" s="114" t="s">
        <v>53</v>
      </c>
      <c r="J62" s="114" t="s">
        <v>119</v>
      </c>
      <c r="K62" s="124" t="s">
        <v>120</v>
      </c>
      <c r="L62" s="125" t="s">
        <v>121</v>
      </c>
      <c r="M62" s="124" t="s">
        <v>116</v>
      </c>
      <c r="N62" s="58"/>
      <c r="O62" s="115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6.5" hidden="1" customHeight="1">
      <c r="A63" s="92"/>
      <c r="B63" s="156"/>
      <c r="C63" s="157"/>
      <c r="D63" s="158"/>
      <c r="E63" s="30"/>
      <c r="F63" s="87"/>
      <c r="G63" s="159"/>
      <c r="H63" s="159"/>
      <c r="I63" s="160"/>
      <c r="J63" s="161"/>
      <c r="K63" s="162"/>
      <c r="L63" s="163"/>
      <c r="M63" s="164"/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145"/>
      <c r="B64" s="165"/>
      <c r="C64" s="157"/>
      <c r="D64" s="158"/>
      <c r="E64" s="30"/>
      <c r="F64" s="87"/>
      <c r="G64" s="166"/>
      <c r="H64" s="167"/>
      <c r="I64" s="161"/>
      <c r="J64" s="161"/>
      <c r="K64" s="161"/>
      <c r="L64" s="168"/>
      <c r="M64" s="164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45"/>
      <c r="B65" s="165"/>
      <c r="C65" s="157"/>
      <c r="D65" s="158"/>
      <c r="E65" s="30"/>
      <c r="F65" s="87"/>
      <c r="G65" s="166"/>
      <c r="H65" s="167"/>
      <c r="I65" s="161"/>
      <c r="J65" s="161"/>
      <c r="K65" s="161"/>
      <c r="L65" s="168"/>
      <c r="M65" s="164"/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146"/>
      <c r="B66" s="169"/>
      <c r="C66" s="157"/>
      <c r="D66" s="158"/>
      <c r="E66" s="30"/>
      <c r="F66" s="87"/>
      <c r="G66" s="166"/>
      <c r="H66" s="167"/>
      <c r="I66" s="161"/>
      <c r="J66" s="161"/>
      <c r="K66" s="161"/>
      <c r="L66" s="170"/>
      <c r="M66" s="164"/>
      <c r="N66" s="58"/>
      <c r="O66" s="115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6.5" hidden="1" customHeight="1">
      <c r="A67" s="129" t="str">
        <f>A52</f>
        <v>#VALUE!</v>
      </c>
      <c r="B67" s="80"/>
      <c r="C67" s="80"/>
      <c r="D67" s="80"/>
      <c r="E67" s="80"/>
      <c r="F67" s="80"/>
      <c r="G67" s="80"/>
      <c r="H67" s="80"/>
      <c r="I67" s="80"/>
      <c r="J67" s="130"/>
      <c r="K67" s="131">
        <f>SUM(K63:K66)</f>
        <v>0</v>
      </c>
      <c r="L67" s="131">
        <f>SUM(L63)</f>
        <v>0</v>
      </c>
      <c r="M67" s="132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hidden="1" customHeight="1">
      <c r="A68" s="133"/>
      <c r="B68" s="134"/>
      <c r="C68" s="112"/>
      <c r="D68" s="112"/>
      <c r="E68" s="134"/>
      <c r="F68" s="134"/>
      <c r="G68" s="134"/>
      <c r="H68" s="111"/>
      <c r="I68" s="112"/>
      <c r="J68" s="112"/>
      <c r="K68" s="112"/>
      <c r="L68" s="112"/>
      <c r="M68" s="134"/>
      <c r="N68" s="11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0.75" hidden="1" customHeight="1">
      <c r="A69" s="133"/>
      <c r="B69" s="134"/>
      <c r="C69" s="112"/>
      <c r="D69" s="112"/>
      <c r="E69" s="134"/>
      <c r="F69" s="134"/>
      <c r="G69" s="134"/>
      <c r="H69" s="111"/>
      <c r="I69" s="112"/>
      <c r="J69" s="112"/>
      <c r="K69" s="112"/>
      <c r="L69" s="112"/>
      <c r="M69" s="134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33"/>
      <c r="B70" s="134"/>
      <c r="C70" s="112"/>
      <c r="D70" s="112"/>
      <c r="E70" s="134"/>
      <c r="F70" s="134"/>
      <c r="G70" s="134"/>
      <c r="H70" s="111"/>
      <c r="I70" s="112"/>
      <c r="J70" s="112"/>
      <c r="K70" s="112"/>
      <c r="L70" s="112"/>
      <c r="M70" s="134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33"/>
      <c r="B71" s="134"/>
      <c r="C71" s="112"/>
      <c r="D71" s="112"/>
      <c r="E71" s="134"/>
      <c r="F71" s="134"/>
      <c r="G71" s="134"/>
      <c r="H71" s="111"/>
      <c r="I71" s="112"/>
      <c r="J71" s="112"/>
      <c r="K71" s="112"/>
      <c r="L71" s="112"/>
      <c r="M71" s="134"/>
      <c r="N71" s="11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customHeight="1">
      <c r="A72" s="112" t="s">
        <v>380</v>
      </c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2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2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2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79" t="s">
        <v>123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1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hidden="1" customHeight="1">
      <c r="A78" s="56" t="s">
        <v>44</v>
      </c>
      <c r="B78" s="56" t="s">
        <v>45</v>
      </c>
      <c r="C78" s="56" t="s">
        <v>46</v>
      </c>
      <c r="D78" s="56" t="s">
        <v>381</v>
      </c>
      <c r="E78" s="56" t="s">
        <v>48</v>
      </c>
      <c r="F78" s="56" t="s">
        <v>49</v>
      </c>
      <c r="G78" s="56" t="s">
        <v>50</v>
      </c>
      <c r="H78" s="57" t="s">
        <v>51</v>
      </c>
      <c r="I78" s="139" t="s">
        <v>53</v>
      </c>
      <c r="J78" s="139" t="s">
        <v>55</v>
      </c>
      <c r="K78" s="124" t="s">
        <v>125</v>
      </c>
      <c r="L78" s="125" t="s">
        <v>57</v>
      </c>
      <c r="M78" s="140" t="s">
        <v>116</v>
      </c>
      <c r="N78" s="3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6.5" hidden="1" customHeight="1">
      <c r="A79" s="92"/>
      <c r="B79" s="30"/>
      <c r="C79" s="30"/>
      <c r="D79" s="30"/>
      <c r="E79" s="30"/>
      <c r="F79" s="87"/>
      <c r="G79" s="87"/>
      <c r="H79" s="87"/>
      <c r="I79" s="34"/>
      <c r="J79" s="31"/>
      <c r="K79" s="31"/>
      <c r="L79" s="93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64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71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71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92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93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71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71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92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93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64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7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71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1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92"/>
      <c r="B89" s="148"/>
      <c r="C89" s="30"/>
      <c r="D89" s="30"/>
      <c r="E89" s="30"/>
      <c r="F89" s="87"/>
      <c r="G89" s="87"/>
      <c r="H89" s="87"/>
      <c r="I89" s="31"/>
      <c r="J89" s="34"/>
      <c r="K89" s="31"/>
      <c r="L89" s="93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148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2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3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30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64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6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64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6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64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6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64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64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64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64"/>
      <c r="M101" s="142"/>
      <c r="N101" s="143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42"/>
      <c r="N102" s="143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42"/>
      <c r="N103" s="143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92"/>
      <c r="B104" s="30"/>
      <c r="C104" s="30"/>
      <c r="D104" s="30"/>
      <c r="E104" s="30"/>
      <c r="F104" s="87"/>
      <c r="G104" s="87"/>
      <c r="H104" s="87"/>
      <c r="I104" s="34"/>
      <c r="J104" s="31"/>
      <c r="K104" s="31"/>
      <c r="L104" s="93"/>
      <c r="M104" s="142"/>
      <c r="N104" s="143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64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64"/>
      <c r="M105" s="142"/>
      <c r="N105" s="143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64"/>
      <c r="B106" s="30"/>
      <c r="C106" s="30"/>
      <c r="D106" s="30"/>
      <c r="E106" s="30"/>
      <c r="F106" s="87"/>
      <c r="G106" s="87"/>
      <c r="H106" s="87"/>
      <c r="I106" s="34"/>
      <c r="J106" s="31"/>
      <c r="K106" s="31"/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hidden="1" customHeight="1">
      <c r="A107" s="64"/>
      <c r="B107" s="149"/>
      <c r="C107" s="30"/>
      <c r="D107" s="30"/>
      <c r="E107" s="30"/>
      <c r="F107" s="87"/>
      <c r="G107" s="87"/>
      <c r="H107" s="87"/>
      <c r="I107" s="34"/>
      <c r="J107" s="31"/>
      <c r="K107" s="31"/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hidden="1" customHeight="1">
      <c r="A110" s="71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71"/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hidden="1" customHeight="1">
      <c r="A111" s="87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91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hidden="1" customHeight="1">
      <c r="A112" s="92"/>
      <c r="B112" s="30"/>
      <c r="C112" s="30"/>
      <c r="D112" s="30"/>
      <c r="E112" s="30"/>
      <c r="F112" s="87"/>
      <c r="G112" s="87"/>
      <c r="H112" s="172"/>
      <c r="I112" s="34"/>
      <c r="J112" s="31"/>
      <c r="K112" s="31"/>
      <c r="L112" s="93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hidden="1" customHeight="1">
      <c r="A113" s="71"/>
      <c r="B113" s="30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hidden="1" customHeight="1">
      <c r="A114" s="92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3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hidden="1" customHeight="1">
      <c r="A115" s="64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hidden="1" customHeight="1">
      <c r="A116" s="7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71"/>
      <c r="M116" s="142"/>
      <c r="N116" s="143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92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93"/>
      <c r="M117" s="142"/>
      <c r="N117" s="143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64"/>
      <c r="B118" s="148"/>
      <c r="C118" s="30"/>
      <c r="D118" s="30"/>
      <c r="E118" s="30"/>
      <c r="F118" s="87"/>
      <c r="G118" s="87"/>
      <c r="H118" s="87"/>
      <c r="I118" s="34"/>
      <c r="J118" s="31"/>
      <c r="K118" s="31"/>
      <c r="L118" s="64"/>
      <c r="M118" s="142"/>
      <c r="N118" s="143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64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64"/>
      <c r="M119" s="142"/>
      <c r="N119" s="143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71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71"/>
      <c r="M120" s="142"/>
      <c r="N120" s="143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87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1"/>
      <c r="M121" s="142"/>
      <c r="N121" s="143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92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93"/>
      <c r="M122" s="142"/>
      <c r="N122" s="143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42"/>
      <c r="N124" s="143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7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71"/>
      <c r="M126" s="142"/>
      <c r="N126" s="143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7.25" hidden="1" customHeight="1">
      <c r="A127" s="150" t="str">
        <f>MID(CELL("filename",$A$1),FIND("]",CELL("filename",$A$1))+1,100)&amp;" TOTAL"</f>
        <v>#VALUE!</v>
      </c>
      <c r="B127" s="151"/>
      <c r="C127" s="151"/>
      <c r="D127" s="151"/>
      <c r="E127" s="151"/>
      <c r="F127" s="97"/>
      <c r="G127" s="97"/>
      <c r="H127" s="97"/>
      <c r="I127" s="151"/>
      <c r="J127" s="152"/>
      <c r="K127" s="100">
        <f t="shared" ref="K127:L127" si="7">SUM(K79:K126)</f>
        <v>0</v>
      </c>
      <c r="L127" s="100">
        <f t="shared" si="7"/>
        <v>0</v>
      </c>
      <c r="M127" s="153"/>
      <c r="N127" s="15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70"/>
      <c r="I133" s="42"/>
      <c r="J133" s="42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155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155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1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1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1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42:N44"/>
    <mergeCell ref="A42:A44"/>
    <mergeCell ref="A46:A48"/>
    <mergeCell ref="A49:A51"/>
    <mergeCell ref="A58:A59"/>
    <mergeCell ref="B58:B59"/>
    <mergeCell ref="A60:J60"/>
    <mergeCell ref="A67:J67"/>
    <mergeCell ref="A85:A87"/>
    <mergeCell ref="A89:A90"/>
    <mergeCell ref="A91:A103"/>
    <mergeCell ref="A104:A110"/>
    <mergeCell ref="A112:A113"/>
    <mergeCell ref="A114:A116"/>
    <mergeCell ref="A117:A120"/>
    <mergeCell ref="A122:A126"/>
    <mergeCell ref="A77:N77"/>
    <mergeCell ref="M78:N78"/>
    <mergeCell ref="A79:A82"/>
    <mergeCell ref="L79:L82"/>
    <mergeCell ref="A83:A84"/>
    <mergeCell ref="L83:L84"/>
    <mergeCell ref="L85:L87"/>
    <mergeCell ref="L89:L90"/>
    <mergeCell ref="L114:L116"/>
    <mergeCell ref="L117:L120"/>
    <mergeCell ref="L122:L126"/>
    <mergeCell ref="N46:N48"/>
    <mergeCell ref="N49:N51"/>
    <mergeCell ref="L58:L59"/>
    <mergeCell ref="L63:L66"/>
    <mergeCell ref="L91:L103"/>
    <mergeCell ref="L104:L110"/>
    <mergeCell ref="L112:L11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382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19</v>
      </c>
      <c r="B11" s="3"/>
      <c r="C11" s="49">
        <v>4.752165E7</v>
      </c>
      <c r="D11" s="48" t="s">
        <v>19</v>
      </c>
      <c r="E11" s="3"/>
      <c r="F11" s="49">
        <v>6.549809E7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20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21</v>
      </c>
      <c r="B14" s="56" t="s">
        <v>383</v>
      </c>
      <c r="C14" s="56" t="s">
        <v>23</v>
      </c>
      <c r="D14" s="57" t="s">
        <v>24</v>
      </c>
      <c r="E14" s="56" t="s">
        <v>25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26</v>
      </c>
      <c r="B15" s="61">
        <f>SUMIF(F38:F58,"RED",M38:M58)</f>
        <v>730560</v>
      </c>
      <c r="C15" s="61">
        <f>L67*C35</f>
        <v>0</v>
      </c>
      <c r="D15" s="61">
        <f>L74*D35</f>
        <v>0</v>
      </c>
      <c r="E15" s="61">
        <f>SUM(B15:D15)</f>
        <v>730560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27</v>
      </c>
      <c r="B16" s="61">
        <f>SUMIF(F38:F58,"BLUE",M38:M58)</f>
        <v>5187430</v>
      </c>
      <c r="C16" s="62"/>
      <c r="D16" s="62"/>
      <c r="E16" s="61">
        <f t="shared" ref="E16:E18" si="1">SUM(B16:C16)</f>
        <v>5187430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28</v>
      </c>
      <c r="B17" s="61">
        <f>SUMIF(F38:F58,"OEM",M38:M58)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29</v>
      </c>
      <c r="B18" s="61">
        <f>SUMIF(F38:F58,"NO LOGO",M38:M58)</f>
        <v>3000000</v>
      </c>
      <c r="C18" s="65"/>
      <c r="D18" s="65"/>
      <c r="E18" s="61">
        <f t="shared" si="1"/>
        <v>3000000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384</v>
      </c>
      <c r="B19" s="66">
        <f>SUM(B15:B18)</f>
        <v>8917990</v>
      </c>
      <c r="C19" s="66">
        <f t="shared" ref="C19:D19" si="2">C15</f>
        <v>0</v>
      </c>
      <c r="D19" s="66">
        <f t="shared" si="2"/>
        <v>0</v>
      </c>
      <c r="E19" s="66">
        <f>SUM(E15:E18)</f>
        <v>8917990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31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21</v>
      </c>
      <c r="B22" s="56" t="s">
        <v>385</v>
      </c>
      <c r="C22" s="56" t="s">
        <v>23</v>
      </c>
      <c r="D22" s="56" t="s">
        <v>25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26</v>
      </c>
      <c r="B23" s="61">
        <f>SUMIFS(K79:K180,O79:O180,"&lt;&gt;"&amp;"CONVUM",O79:O180,"&lt;&gt;"&amp;"MYOTOKU CHINA",F79:F180,"RED")</f>
        <v>4030440</v>
      </c>
      <c r="C23" s="61">
        <f>SUMIFS(K79:K180,O79:O180,"CONVUM",F79:F180,"RED")</f>
        <v>0</v>
      </c>
      <c r="D23" s="61">
        <f t="shared" ref="D23:D26" si="3">SUM(B23:C23)</f>
        <v>4030440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27</v>
      </c>
      <c r="B24" s="61">
        <f>SUMIFS(K79:K180,O79:O180,"&lt;&gt;"&amp;"CONVUM",O79:O180,"&lt;&gt;"&amp;"MYOTOKU CHINA",F79:F180,"BLUE")</f>
        <v>4395680</v>
      </c>
      <c r="C24" s="62"/>
      <c r="D24" s="61">
        <f t="shared" si="3"/>
        <v>4395680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28</v>
      </c>
      <c r="B25" s="61">
        <f>SUMIFS(K79:K180,O79:O180,"&lt;&gt;"&amp;"CONVUM",O79:O180,"&lt;&gt;"&amp;"MYOTOKU CHINA",F79:F180,"OEM")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29</v>
      </c>
      <c r="B26" s="61">
        <f>SUMIFS(K79:K180,O79:O180,"&lt;&gt;"&amp;"CONVUM",O79:O180,"&lt;&gt;"&amp;"MYOTOKU CHINA",F79:F180,"NO LOGO")</f>
        <v>5749000</v>
      </c>
      <c r="C26" s="71"/>
      <c r="D26" s="61">
        <f t="shared" si="3"/>
        <v>5749000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386</v>
      </c>
      <c r="B27" s="66">
        <f>SUM(B23:B26)</f>
        <v>14175120</v>
      </c>
      <c r="C27" s="66">
        <f>C23</f>
        <v>0</v>
      </c>
      <c r="D27" s="66">
        <f>SUM(D23:D26)</f>
        <v>14175120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387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21</v>
      </c>
      <c r="B30" s="56" t="s">
        <v>388</v>
      </c>
      <c r="C30" s="56" t="s">
        <v>23</v>
      </c>
      <c r="D30" s="57" t="s">
        <v>24</v>
      </c>
      <c r="E30" s="56" t="s">
        <v>25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36</v>
      </c>
      <c r="B31" s="61">
        <v>1.4034326E8</v>
      </c>
      <c r="C31" s="61">
        <f>3868500*C35</f>
        <v>36259063.65</v>
      </c>
      <c r="D31" s="61">
        <f>0*D35</f>
        <v>0</v>
      </c>
      <c r="E31" s="61">
        <f t="shared" ref="E31:E33" si="4">SUM(B31:D31)</f>
        <v>176602323.7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37</v>
      </c>
      <c r="B32" s="61">
        <v>4715000.0</v>
      </c>
      <c r="C32" s="61">
        <f>4126500*C35</f>
        <v>38677271.85</v>
      </c>
      <c r="D32" s="61">
        <f>0*D35</f>
        <v>0</v>
      </c>
      <c r="E32" s="61">
        <f t="shared" si="4"/>
        <v>43392271.85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38</v>
      </c>
      <c r="B33" s="61">
        <v>1.1413174E8</v>
      </c>
      <c r="C33" s="61">
        <f>6560000*C35</f>
        <v>61486224</v>
      </c>
      <c r="D33" s="61">
        <v>0.0</v>
      </c>
      <c r="E33" s="61">
        <f t="shared" si="4"/>
        <v>175617964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389</v>
      </c>
      <c r="B34" s="66">
        <f t="shared" ref="B34:E34" si="5">SUM(B31:B33)</f>
        <v>259190000</v>
      </c>
      <c r="C34" s="66">
        <f t="shared" si="5"/>
        <v>136422559.5</v>
      </c>
      <c r="D34" s="66">
        <f t="shared" si="5"/>
        <v>0</v>
      </c>
      <c r="E34" s="66">
        <f t="shared" si="5"/>
        <v>395612559.5</v>
      </c>
      <c r="F34" s="43"/>
      <c r="G34" s="58"/>
      <c r="H34" s="43"/>
      <c r="I34" s="44"/>
      <c r="J34" s="42"/>
      <c r="K34" s="75" t="s">
        <v>40</v>
      </c>
      <c r="L34" s="75" t="s">
        <v>41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42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43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44</v>
      </c>
      <c r="B37" s="82" t="s">
        <v>45</v>
      </c>
      <c r="C37" s="82" t="s">
        <v>46</v>
      </c>
      <c r="D37" s="82" t="s">
        <v>47</v>
      </c>
      <c r="E37" s="82" t="s">
        <v>48</v>
      </c>
      <c r="F37" s="82" t="s">
        <v>49</v>
      </c>
      <c r="G37" s="82" t="s">
        <v>50</v>
      </c>
      <c r="H37" s="83" t="s">
        <v>51</v>
      </c>
      <c r="I37" s="82" t="s">
        <v>52</v>
      </c>
      <c r="J37" s="84" t="s">
        <v>53</v>
      </c>
      <c r="K37" s="86" t="s">
        <v>390</v>
      </c>
      <c r="L37" s="85" t="s">
        <v>55</v>
      </c>
      <c r="M37" s="86" t="s">
        <v>56</v>
      </c>
      <c r="N37" s="86" t="s">
        <v>57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66</v>
      </c>
      <c r="B38" s="30" t="s">
        <v>66</v>
      </c>
      <c r="C38" s="30" t="s">
        <v>67</v>
      </c>
      <c r="D38" s="30" t="s">
        <v>61</v>
      </c>
      <c r="E38" s="30" t="s">
        <v>70</v>
      </c>
      <c r="F38" s="87" t="s">
        <v>71</v>
      </c>
      <c r="G38" s="87" t="s">
        <v>391</v>
      </c>
      <c r="H38" s="87" t="s">
        <v>392</v>
      </c>
      <c r="I38" s="30"/>
      <c r="J38" s="35">
        <v>5.0</v>
      </c>
      <c r="K38" s="89" t="s">
        <v>40</v>
      </c>
      <c r="L38" s="90">
        <v>3200.0</v>
      </c>
      <c r="M38" s="31">
        <v>16000.0</v>
      </c>
      <c r="N38" s="91">
        <f>SUM(M38)</f>
        <v>16000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2" t="s">
        <v>82</v>
      </c>
      <c r="B39" s="30" t="s">
        <v>139</v>
      </c>
      <c r="C39" s="30" t="s">
        <v>140</v>
      </c>
      <c r="D39" s="30" t="s">
        <v>105</v>
      </c>
      <c r="E39" s="30" t="s">
        <v>70</v>
      </c>
      <c r="F39" s="87" t="s">
        <v>71</v>
      </c>
      <c r="G39" s="87" t="s">
        <v>393</v>
      </c>
      <c r="H39" s="87" t="s">
        <v>394</v>
      </c>
      <c r="I39" s="30"/>
      <c r="J39" s="35">
        <v>36.0</v>
      </c>
      <c r="K39" s="89" t="s">
        <v>40</v>
      </c>
      <c r="L39" s="90">
        <v>4210.0</v>
      </c>
      <c r="M39" s="31">
        <v>151560.0</v>
      </c>
      <c r="N39" s="93">
        <f>SUM(M39:M45)</f>
        <v>2439070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139</v>
      </c>
      <c r="C40" s="30" t="s">
        <v>140</v>
      </c>
      <c r="D40" s="30" t="s">
        <v>105</v>
      </c>
      <c r="E40" s="30" t="s">
        <v>185</v>
      </c>
      <c r="F40" s="87" t="s">
        <v>63</v>
      </c>
      <c r="G40" s="87" t="s">
        <v>205</v>
      </c>
      <c r="H40" s="87" t="s">
        <v>206</v>
      </c>
      <c r="I40" s="30"/>
      <c r="J40" s="35">
        <v>2.0</v>
      </c>
      <c r="K40" s="89" t="s">
        <v>40</v>
      </c>
      <c r="L40" s="90">
        <v>875100.0</v>
      </c>
      <c r="M40" s="31">
        <v>1750200.0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274</v>
      </c>
      <c r="C41" s="30" t="s">
        <v>101</v>
      </c>
      <c r="D41" s="30" t="s">
        <v>61</v>
      </c>
      <c r="E41" s="30" t="s">
        <v>62</v>
      </c>
      <c r="F41" s="87" t="s">
        <v>71</v>
      </c>
      <c r="G41" s="87" t="s">
        <v>275</v>
      </c>
      <c r="H41" s="87" t="s">
        <v>276</v>
      </c>
      <c r="I41" s="30"/>
      <c r="J41" s="35">
        <v>50.0</v>
      </c>
      <c r="K41" s="89" t="s">
        <v>41</v>
      </c>
      <c r="L41" s="90">
        <v>1750.0</v>
      </c>
      <c r="M41" s="31">
        <v>87500.0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83</v>
      </c>
      <c r="C42" s="30" t="s">
        <v>84</v>
      </c>
      <c r="D42" s="30" t="s">
        <v>85</v>
      </c>
      <c r="E42" s="30" t="s">
        <v>70</v>
      </c>
      <c r="F42" s="87" t="s">
        <v>71</v>
      </c>
      <c r="G42" s="87" t="s">
        <v>395</v>
      </c>
      <c r="H42" s="87" t="s">
        <v>396</v>
      </c>
      <c r="I42" s="30"/>
      <c r="J42" s="35">
        <v>10.0</v>
      </c>
      <c r="K42" s="89" t="s">
        <v>40</v>
      </c>
      <c r="L42" s="90">
        <v>4680.0</v>
      </c>
      <c r="M42" s="31">
        <v>46800.0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83</v>
      </c>
      <c r="C43" s="30" t="s">
        <v>84</v>
      </c>
      <c r="D43" s="30" t="s">
        <v>85</v>
      </c>
      <c r="E43" s="30" t="s">
        <v>62</v>
      </c>
      <c r="F43" s="87" t="s">
        <v>63</v>
      </c>
      <c r="G43" s="87" t="s">
        <v>272</v>
      </c>
      <c r="H43" s="87" t="s">
        <v>273</v>
      </c>
      <c r="I43" s="30"/>
      <c r="J43" s="35">
        <v>2.0</v>
      </c>
      <c r="K43" s="89" t="s">
        <v>40</v>
      </c>
      <c r="L43" s="90">
        <v>3550.0</v>
      </c>
      <c r="M43" s="31">
        <v>7100.0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83</v>
      </c>
      <c r="C44" s="30" t="s">
        <v>84</v>
      </c>
      <c r="D44" s="30" t="s">
        <v>85</v>
      </c>
      <c r="E44" s="30" t="s">
        <v>70</v>
      </c>
      <c r="F44" s="87" t="s">
        <v>71</v>
      </c>
      <c r="G44" s="87" t="s">
        <v>397</v>
      </c>
      <c r="H44" s="87" t="s">
        <v>398</v>
      </c>
      <c r="I44" s="30"/>
      <c r="J44" s="35">
        <v>1.0</v>
      </c>
      <c r="K44" s="89" t="s">
        <v>40</v>
      </c>
      <c r="L44" s="90">
        <v>362700.0</v>
      </c>
      <c r="M44" s="31">
        <v>362700.0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83</v>
      </c>
      <c r="C45" s="30" t="s">
        <v>84</v>
      </c>
      <c r="D45" s="30" t="s">
        <v>85</v>
      </c>
      <c r="E45" s="30" t="s">
        <v>62</v>
      </c>
      <c r="F45" s="87" t="s">
        <v>63</v>
      </c>
      <c r="G45" s="87" t="s">
        <v>277</v>
      </c>
      <c r="H45" s="87" t="s">
        <v>278</v>
      </c>
      <c r="I45" s="30"/>
      <c r="J45" s="35">
        <v>9.0</v>
      </c>
      <c r="K45" s="89" t="s">
        <v>40</v>
      </c>
      <c r="L45" s="90">
        <v>3690.0</v>
      </c>
      <c r="M45" s="31">
        <v>33210.0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287</v>
      </c>
      <c r="B46" s="30" t="s">
        <v>399</v>
      </c>
      <c r="C46" s="30" t="s">
        <v>101</v>
      </c>
      <c r="D46" s="30" t="s">
        <v>61</v>
      </c>
      <c r="E46" s="30" t="s">
        <v>70</v>
      </c>
      <c r="F46" s="87" t="s">
        <v>29</v>
      </c>
      <c r="G46" s="87" t="s">
        <v>400</v>
      </c>
      <c r="H46" s="87" t="s">
        <v>401</v>
      </c>
      <c r="I46" s="30"/>
      <c r="J46" s="35">
        <v>150.0</v>
      </c>
      <c r="K46" s="89" t="s">
        <v>41</v>
      </c>
      <c r="L46" s="90">
        <v>20000.0</v>
      </c>
      <c r="M46" s="31">
        <v>3000000.0</v>
      </c>
      <c r="N46" s="91">
        <f t="shared" ref="N46:N48" si="6">SUM(M46)</f>
        <v>3000000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207</v>
      </c>
      <c r="B47" s="30" t="s">
        <v>208</v>
      </c>
      <c r="C47" s="30" t="s">
        <v>67</v>
      </c>
      <c r="D47" s="30" t="s">
        <v>105</v>
      </c>
      <c r="E47" s="30" t="s">
        <v>106</v>
      </c>
      <c r="F47" s="87" t="s">
        <v>63</v>
      </c>
      <c r="G47" s="87" t="s">
        <v>402</v>
      </c>
      <c r="H47" s="87" t="s">
        <v>403</v>
      </c>
      <c r="I47" s="30"/>
      <c r="J47" s="141">
        <v>2500.0</v>
      </c>
      <c r="K47" s="89" t="s">
        <v>41</v>
      </c>
      <c r="L47" s="173">
        <v>780.0</v>
      </c>
      <c r="M47" s="31">
        <v>1950000.0</v>
      </c>
      <c r="N47" s="91">
        <f t="shared" si="6"/>
        <v>1950000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87" t="s">
        <v>92</v>
      </c>
      <c r="B48" s="30" t="s">
        <v>93</v>
      </c>
      <c r="C48" s="30" t="s">
        <v>67</v>
      </c>
      <c r="D48" s="30" t="s">
        <v>61</v>
      </c>
      <c r="E48" s="30" t="s">
        <v>62</v>
      </c>
      <c r="F48" s="87" t="s">
        <v>63</v>
      </c>
      <c r="G48" s="87" t="s">
        <v>163</v>
      </c>
      <c r="H48" s="87" t="s">
        <v>164</v>
      </c>
      <c r="I48" s="30"/>
      <c r="J48" s="35">
        <v>10.0</v>
      </c>
      <c r="K48" s="89" t="s">
        <v>40</v>
      </c>
      <c r="L48" s="90">
        <v>30250.0</v>
      </c>
      <c r="M48" s="31">
        <v>302500.0</v>
      </c>
      <c r="N48" s="91">
        <f t="shared" si="6"/>
        <v>302500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2" t="s">
        <v>96</v>
      </c>
      <c r="B49" s="30" t="s">
        <v>211</v>
      </c>
      <c r="C49" s="30" t="s">
        <v>189</v>
      </c>
      <c r="D49" s="30" t="s">
        <v>105</v>
      </c>
      <c r="E49" s="30" t="s">
        <v>62</v>
      </c>
      <c r="F49" s="87" t="s">
        <v>63</v>
      </c>
      <c r="G49" s="87" t="s">
        <v>320</v>
      </c>
      <c r="H49" s="87" t="s">
        <v>321</v>
      </c>
      <c r="I49" s="30"/>
      <c r="J49" s="35">
        <v>26.0</v>
      </c>
      <c r="K49" s="89" t="s">
        <v>41</v>
      </c>
      <c r="L49" s="90">
        <v>1100.0</v>
      </c>
      <c r="M49" s="31">
        <v>28600.0</v>
      </c>
      <c r="N49" s="93">
        <f>SUM(M49:M51)</f>
        <v>760060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211</v>
      </c>
      <c r="C50" s="30" t="s">
        <v>189</v>
      </c>
      <c r="D50" s="30" t="s">
        <v>105</v>
      </c>
      <c r="E50" s="30" t="s">
        <v>62</v>
      </c>
      <c r="F50" s="87" t="s">
        <v>63</v>
      </c>
      <c r="G50" s="87" t="s">
        <v>318</v>
      </c>
      <c r="H50" s="87" t="s">
        <v>319</v>
      </c>
      <c r="I50" s="30"/>
      <c r="J50" s="35">
        <v>92.0</v>
      </c>
      <c r="K50" s="89" t="s">
        <v>41</v>
      </c>
      <c r="L50" s="90">
        <v>4500.0</v>
      </c>
      <c r="M50" s="31">
        <v>414000.0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211</v>
      </c>
      <c r="C51" s="30" t="s">
        <v>189</v>
      </c>
      <c r="D51" s="30" t="s">
        <v>105</v>
      </c>
      <c r="E51" s="30" t="s">
        <v>185</v>
      </c>
      <c r="F51" s="87" t="s">
        <v>63</v>
      </c>
      <c r="G51" s="87" t="s">
        <v>212</v>
      </c>
      <c r="H51" s="87" t="s">
        <v>213</v>
      </c>
      <c r="I51" s="30"/>
      <c r="J51" s="35">
        <v>26.0</v>
      </c>
      <c r="K51" s="89" t="s">
        <v>41</v>
      </c>
      <c r="L51" s="90">
        <v>12210.0</v>
      </c>
      <c r="M51" s="31">
        <v>317460.0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92" t="s">
        <v>99</v>
      </c>
      <c r="B52" s="30" t="s">
        <v>100</v>
      </c>
      <c r="C52" s="30" t="s">
        <v>101</v>
      </c>
      <c r="D52" s="30" t="s">
        <v>61</v>
      </c>
      <c r="E52" s="30" t="s">
        <v>62</v>
      </c>
      <c r="F52" s="87" t="s">
        <v>63</v>
      </c>
      <c r="G52" s="87" t="s">
        <v>102</v>
      </c>
      <c r="H52" s="87" t="s">
        <v>103</v>
      </c>
      <c r="I52" s="30"/>
      <c r="J52" s="35">
        <v>8.0</v>
      </c>
      <c r="K52" s="89" t="s">
        <v>40</v>
      </c>
      <c r="L52" s="90">
        <v>7070.0</v>
      </c>
      <c r="M52" s="31">
        <v>56560.0</v>
      </c>
      <c r="N52" s="93">
        <f>SUM(M52:M53)</f>
        <v>165560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404</v>
      </c>
      <c r="C53" s="30" t="s">
        <v>405</v>
      </c>
      <c r="D53" s="30" t="s">
        <v>61</v>
      </c>
      <c r="E53" s="30" t="s">
        <v>62</v>
      </c>
      <c r="F53" s="87" t="s">
        <v>63</v>
      </c>
      <c r="G53" s="87" t="s">
        <v>324</v>
      </c>
      <c r="H53" s="87" t="s">
        <v>325</v>
      </c>
      <c r="I53" s="30"/>
      <c r="J53" s="35">
        <v>50.0</v>
      </c>
      <c r="K53" s="89" t="s">
        <v>40</v>
      </c>
      <c r="L53" s="90">
        <v>2180.0</v>
      </c>
      <c r="M53" s="31">
        <v>109000.0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2" t="s">
        <v>182</v>
      </c>
      <c r="B54" s="30" t="s">
        <v>339</v>
      </c>
      <c r="C54" s="30" t="s">
        <v>340</v>
      </c>
      <c r="D54" s="30" t="s">
        <v>61</v>
      </c>
      <c r="E54" s="30" t="s">
        <v>70</v>
      </c>
      <c r="F54" s="87" t="s">
        <v>71</v>
      </c>
      <c r="G54" s="87" t="s">
        <v>406</v>
      </c>
      <c r="H54" s="87" t="s">
        <v>407</v>
      </c>
      <c r="I54" s="30"/>
      <c r="J54" s="35">
        <v>12.0</v>
      </c>
      <c r="K54" s="89" t="s">
        <v>40</v>
      </c>
      <c r="L54" s="90">
        <v>5500.0</v>
      </c>
      <c r="M54" s="31">
        <v>66000.0</v>
      </c>
      <c r="N54" s="93">
        <f>SUM(M54:M58)</f>
        <v>284800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339</v>
      </c>
      <c r="C55" s="30" t="s">
        <v>340</v>
      </c>
      <c r="D55" s="30" t="s">
        <v>61</v>
      </c>
      <c r="E55" s="30" t="s">
        <v>62</v>
      </c>
      <c r="F55" s="87" t="s">
        <v>63</v>
      </c>
      <c r="G55" s="87" t="s">
        <v>350</v>
      </c>
      <c r="H55" s="87" t="s">
        <v>351</v>
      </c>
      <c r="I55" s="30"/>
      <c r="J55" s="35">
        <v>10.0</v>
      </c>
      <c r="K55" s="89" t="s">
        <v>41</v>
      </c>
      <c r="L55" s="90">
        <v>1400.0</v>
      </c>
      <c r="M55" s="31">
        <v>14000.0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339</v>
      </c>
      <c r="C56" s="30" t="s">
        <v>340</v>
      </c>
      <c r="D56" s="30" t="s">
        <v>61</v>
      </c>
      <c r="E56" s="30" t="s">
        <v>62</v>
      </c>
      <c r="F56" s="87" t="s">
        <v>63</v>
      </c>
      <c r="G56" s="87" t="s">
        <v>346</v>
      </c>
      <c r="H56" s="87" t="s">
        <v>347</v>
      </c>
      <c r="I56" s="30"/>
      <c r="J56" s="35">
        <v>100.0</v>
      </c>
      <c r="K56" s="89" t="s">
        <v>41</v>
      </c>
      <c r="L56" s="90">
        <v>1300.0</v>
      </c>
      <c r="M56" s="31">
        <v>130000.0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339</v>
      </c>
      <c r="C57" s="30" t="s">
        <v>340</v>
      </c>
      <c r="D57" s="30" t="s">
        <v>61</v>
      </c>
      <c r="E57" s="30" t="s">
        <v>62</v>
      </c>
      <c r="F57" s="87" t="s">
        <v>63</v>
      </c>
      <c r="G57" s="87" t="s">
        <v>352</v>
      </c>
      <c r="H57" s="87" t="s">
        <v>353</v>
      </c>
      <c r="I57" s="30"/>
      <c r="J57" s="35">
        <v>8.0</v>
      </c>
      <c r="K57" s="89" t="s">
        <v>40</v>
      </c>
      <c r="L57" s="90">
        <v>1850.0</v>
      </c>
      <c r="M57" s="31">
        <v>14800.0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71"/>
      <c r="B58" s="30" t="s">
        <v>339</v>
      </c>
      <c r="C58" s="30" t="s">
        <v>340</v>
      </c>
      <c r="D58" s="30" t="s">
        <v>61</v>
      </c>
      <c r="E58" s="30" t="s">
        <v>62</v>
      </c>
      <c r="F58" s="87" t="s">
        <v>63</v>
      </c>
      <c r="G58" s="87" t="s">
        <v>348</v>
      </c>
      <c r="H58" s="87" t="s">
        <v>349</v>
      </c>
      <c r="I58" s="30"/>
      <c r="J58" s="35">
        <v>40.0</v>
      </c>
      <c r="K58" s="89" t="s">
        <v>41</v>
      </c>
      <c r="L58" s="90">
        <v>1500.0</v>
      </c>
      <c r="M58" s="31">
        <v>60000.0</v>
      </c>
      <c r="N58" s="71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0" customHeight="1">
      <c r="A59" s="95" t="str">
        <f>MID(CELL("filename",$A$1),FIND("]",CELL("filename",$A$1))+1,100)&amp;" TOTAL"</f>
        <v>#VALUE!</v>
      </c>
      <c r="B59" s="96"/>
      <c r="C59" s="96"/>
      <c r="D59" s="96"/>
      <c r="E59" s="96"/>
      <c r="F59" s="96"/>
      <c r="G59" s="97"/>
      <c r="H59" s="97"/>
      <c r="I59" s="96"/>
      <c r="J59" s="96"/>
      <c r="K59" s="98"/>
      <c r="L59" s="99"/>
      <c r="M59" s="66">
        <f t="shared" ref="M59:N59" si="7">SUM(M38:M58)</f>
        <v>8917990</v>
      </c>
      <c r="N59" s="100">
        <f t="shared" si="7"/>
        <v>8917990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101"/>
      <c r="B60" s="102"/>
      <c r="C60" s="102"/>
      <c r="D60" s="102"/>
      <c r="E60" s="102"/>
      <c r="F60" s="102"/>
      <c r="G60" s="102"/>
      <c r="H60" s="103"/>
      <c r="I60" s="102"/>
      <c r="J60" s="102"/>
      <c r="K60" s="102"/>
      <c r="L60" s="104"/>
      <c r="M60" s="105"/>
      <c r="N60" s="10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0.25" customHeight="1">
      <c r="A61" s="101" t="s">
        <v>109</v>
      </c>
      <c r="B61" s="106"/>
      <c r="C61" s="107"/>
      <c r="D61" s="107"/>
      <c r="E61" s="107"/>
      <c r="F61" s="107"/>
      <c r="G61" s="107"/>
      <c r="H61" s="108"/>
      <c r="I61" s="107"/>
      <c r="J61" s="107"/>
      <c r="K61" s="43"/>
      <c r="L61" s="109"/>
      <c r="M61" s="43"/>
      <c r="N61" s="109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1"/>
      <c r="B62" s="106"/>
      <c r="C62" s="107"/>
      <c r="D62" s="107"/>
      <c r="E62" s="107"/>
      <c r="F62" s="107"/>
      <c r="G62" s="107"/>
      <c r="H62" s="108"/>
      <c r="I62" s="107"/>
      <c r="J62" s="107"/>
      <c r="K62" s="43"/>
      <c r="L62" s="109"/>
      <c r="M62" s="43"/>
      <c r="N62" s="109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10" t="s">
        <v>110</v>
      </c>
      <c r="B63" s="67"/>
      <c r="C63" s="67"/>
      <c r="D63" s="101"/>
      <c r="E63" s="67"/>
      <c r="F63" s="67"/>
      <c r="G63" s="67"/>
      <c r="H63" s="111"/>
      <c r="I63" s="112"/>
      <c r="J63" s="112"/>
      <c r="K63" s="112"/>
      <c r="L63" s="112"/>
      <c r="M63" s="68"/>
      <c r="N63" s="113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57" t="s">
        <v>44</v>
      </c>
      <c r="B64" s="57" t="s">
        <v>45</v>
      </c>
      <c r="C64" s="57" t="s">
        <v>46</v>
      </c>
      <c r="D64" s="57" t="s">
        <v>408</v>
      </c>
      <c r="E64" s="57" t="s">
        <v>48</v>
      </c>
      <c r="F64" s="57" t="s">
        <v>112</v>
      </c>
      <c r="G64" s="57" t="s">
        <v>50</v>
      </c>
      <c r="H64" s="57" t="s">
        <v>51</v>
      </c>
      <c r="I64" s="57" t="s">
        <v>53</v>
      </c>
      <c r="J64" s="57" t="s">
        <v>113</v>
      </c>
      <c r="K64" s="57" t="s">
        <v>114</v>
      </c>
      <c r="L64" s="114" t="s">
        <v>115</v>
      </c>
      <c r="M64" s="114" t="s">
        <v>116</v>
      </c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92"/>
      <c r="B65" s="117"/>
      <c r="C65" s="88"/>
      <c r="D65" s="30"/>
      <c r="E65" s="30"/>
      <c r="F65" s="87"/>
      <c r="G65" s="87"/>
      <c r="H65" s="87"/>
      <c r="I65" s="34"/>
      <c r="J65" s="118"/>
      <c r="K65" s="118"/>
      <c r="L65" s="119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71"/>
      <c r="B66" s="71"/>
      <c r="C66" s="88"/>
      <c r="D66" s="30"/>
      <c r="E66" s="30"/>
      <c r="F66" s="87"/>
      <c r="G66" s="87"/>
      <c r="H66" s="87"/>
      <c r="I66" s="31"/>
      <c r="J66" s="118"/>
      <c r="K66" s="118"/>
      <c r="L66" s="64"/>
      <c r="M66" s="120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21" t="str">
        <f>A59</f>
        <v>#VALUE!</v>
      </c>
      <c r="B67" s="2"/>
      <c r="C67" s="2"/>
      <c r="D67" s="2"/>
      <c r="E67" s="2"/>
      <c r="F67" s="2"/>
      <c r="G67" s="2"/>
      <c r="H67" s="2"/>
      <c r="I67" s="2"/>
      <c r="J67" s="3"/>
      <c r="K67" s="122">
        <f>SUM(K65:K66)</f>
        <v>0</v>
      </c>
      <c r="L67" s="123">
        <f>SUM(L65)</f>
        <v>0</v>
      </c>
      <c r="M67" s="56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01"/>
      <c r="B68" s="67"/>
      <c r="C68" s="67"/>
      <c r="D68" s="101"/>
      <c r="E68" s="67"/>
      <c r="F68" s="67"/>
      <c r="G68" s="67"/>
      <c r="H68" s="111"/>
      <c r="I68" s="112"/>
      <c r="J68" s="112"/>
      <c r="K68" s="112"/>
      <c r="L68" s="112"/>
      <c r="M68" s="68"/>
      <c r="N68" s="113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57" t="s">
        <v>44</v>
      </c>
      <c r="B69" s="57" t="s">
        <v>45</v>
      </c>
      <c r="C69" s="57" t="s">
        <v>46</v>
      </c>
      <c r="D69" s="57" t="s">
        <v>409</v>
      </c>
      <c r="E69" s="57" t="s">
        <v>48</v>
      </c>
      <c r="F69" s="57" t="s">
        <v>118</v>
      </c>
      <c r="G69" s="57" t="s">
        <v>50</v>
      </c>
      <c r="H69" s="57" t="s">
        <v>51</v>
      </c>
      <c r="I69" s="114" t="s">
        <v>53</v>
      </c>
      <c r="J69" s="114" t="s">
        <v>119</v>
      </c>
      <c r="K69" s="124" t="s">
        <v>120</v>
      </c>
      <c r="L69" s="125" t="s">
        <v>121</v>
      </c>
      <c r="M69" s="124" t="s">
        <v>116</v>
      </c>
      <c r="N69" s="58"/>
      <c r="O69" s="115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6.5" hidden="1" customHeight="1">
      <c r="A70" s="92"/>
      <c r="B70" s="156"/>
      <c r="C70" s="157"/>
      <c r="D70" s="158"/>
      <c r="E70" s="30"/>
      <c r="F70" s="87"/>
      <c r="G70" s="159"/>
      <c r="H70" s="159"/>
      <c r="I70" s="160"/>
      <c r="J70" s="161"/>
      <c r="K70" s="162"/>
      <c r="L70" s="163"/>
      <c r="M70" s="164"/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145"/>
      <c r="B71" s="165"/>
      <c r="C71" s="157"/>
      <c r="D71" s="158"/>
      <c r="E71" s="30"/>
      <c r="F71" s="87"/>
      <c r="G71" s="166"/>
      <c r="H71" s="167"/>
      <c r="I71" s="161"/>
      <c r="J71" s="161"/>
      <c r="K71" s="161"/>
      <c r="L71" s="168"/>
      <c r="M71" s="164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45"/>
      <c r="B72" s="165"/>
      <c r="C72" s="157"/>
      <c r="D72" s="158"/>
      <c r="E72" s="30"/>
      <c r="F72" s="87"/>
      <c r="G72" s="166"/>
      <c r="H72" s="167"/>
      <c r="I72" s="161"/>
      <c r="J72" s="161"/>
      <c r="K72" s="161"/>
      <c r="L72" s="168"/>
      <c r="M72" s="164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46"/>
      <c r="B73" s="169"/>
      <c r="C73" s="157"/>
      <c r="D73" s="158"/>
      <c r="E73" s="30"/>
      <c r="F73" s="87"/>
      <c r="G73" s="166"/>
      <c r="H73" s="167"/>
      <c r="I73" s="161"/>
      <c r="J73" s="161"/>
      <c r="K73" s="161"/>
      <c r="L73" s="170"/>
      <c r="M73" s="164"/>
      <c r="N73" s="58"/>
      <c r="O73" s="115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6.5" hidden="1" customHeight="1">
      <c r="A74" s="129" t="str">
        <f>A59</f>
        <v>#VALUE!</v>
      </c>
      <c r="B74" s="80"/>
      <c r="C74" s="80"/>
      <c r="D74" s="80"/>
      <c r="E74" s="80"/>
      <c r="F74" s="80"/>
      <c r="G74" s="80"/>
      <c r="H74" s="80"/>
      <c r="I74" s="80"/>
      <c r="J74" s="130"/>
      <c r="K74" s="131">
        <f>SUM(K70:K73)</f>
        <v>0</v>
      </c>
      <c r="L74" s="131">
        <f>SUM(L70)</f>
        <v>0</v>
      </c>
      <c r="M74" s="132"/>
      <c r="N74" s="44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hidden="1" customHeight="1">
      <c r="A75" s="133"/>
      <c r="B75" s="134"/>
      <c r="C75" s="112"/>
      <c r="D75" s="112"/>
      <c r="E75" s="134"/>
      <c r="F75" s="134"/>
      <c r="G75" s="134"/>
      <c r="H75" s="111"/>
      <c r="I75" s="112"/>
      <c r="J75" s="112"/>
      <c r="K75" s="112"/>
      <c r="L75" s="112"/>
      <c r="M75" s="134"/>
      <c r="N75" s="11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0.75" hidden="1" customHeight="1">
      <c r="A76" s="133"/>
      <c r="B76" s="134"/>
      <c r="C76" s="112"/>
      <c r="D76" s="112"/>
      <c r="E76" s="134"/>
      <c r="F76" s="134"/>
      <c r="G76" s="134"/>
      <c r="H76" s="111"/>
      <c r="I76" s="112"/>
      <c r="J76" s="112"/>
      <c r="K76" s="112"/>
      <c r="L76" s="112"/>
      <c r="M76" s="134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33"/>
      <c r="B77" s="134"/>
      <c r="C77" s="112"/>
      <c r="D77" s="112"/>
      <c r="E77" s="134"/>
      <c r="F77" s="134"/>
      <c r="G77" s="134"/>
      <c r="H77" s="111"/>
      <c r="I77" s="112"/>
      <c r="J77" s="112"/>
      <c r="K77" s="112"/>
      <c r="L77" s="112"/>
      <c r="M77" s="134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33"/>
      <c r="B78" s="134"/>
      <c r="C78" s="112"/>
      <c r="D78" s="112"/>
      <c r="E78" s="134"/>
      <c r="F78" s="134"/>
      <c r="G78" s="134"/>
      <c r="H78" s="111"/>
      <c r="I78" s="112"/>
      <c r="J78" s="112"/>
      <c r="K78" s="112"/>
      <c r="L78" s="112"/>
      <c r="M78" s="134"/>
      <c r="N78" s="11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2" t="s">
        <v>410</v>
      </c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/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2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112"/>
      <c r="B83" s="135"/>
      <c r="C83" s="136"/>
      <c r="D83" s="136"/>
      <c r="E83" s="135"/>
      <c r="F83" s="136"/>
      <c r="G83" s="135"/>
      <c r="H83" s="137"/>
      <c r="I83" s="136"/>
      <c r="J83" s="136"/>
      <c r="K83" s="136"/>
      <c r="L83" s="136"/>
      <c r="M83" s="135"/>
      <c r="N83" s="138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79" t="s">
        <v>123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56" t="s">
        <v>44</v>
      </c>
      <c r="B85" s="56" t="s">
        <v>45</v>
      </c>
      <c r="C85" s="56" t="s">
        <v>46</v>
      </c>
      <c r="D85" s="56" t="s">
        <v>411</v>
      </c>
      <c r="E85" s="56" t="s">
        <v>48</v>
      </c>
      <c r="F85" s="56" t="s">
        <v>49</v>
      </c>
      <c r="G85" s="56" t="s">
        <v>50</v>
      </c>
      <c r="H85" s="57" t="s">
        <v>51</v>
      </c>
      <c r="I85" s="139" t="s">
        <v>53</v>
      </c>
      <c r="J85" s="139" t="s">
        <v>55</v>
      </c>
      <c r="K85" s="124" t="s">
        <v>125</v>
      </c>
      <c r="L85" s="125" t="s">
        <v>57</v>
      </c>
      <c r="M85" s="140" t="s">
        <v>116</v>
      </c>
      <c r="N85" s="3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92" t="s">
        <v>135</v>
      </c>
      <c r="B86" s="30" t="s">
        <v>412</v>
      </c>
      <c r="C86" s="30" t="s">
        <v>413</v>
      </c>
      <c r="D86" s="30" t="s">
        <v>61</v>
      </c>
      <c r="E86" s="30" t="s">
        <v>70</v>
      </c>
      <c r="F86" s="87" t="s">
        <v>71</v>
      </c>
      <c r="G86" s="87" t="s">
        <v>334</v>
      </c>
      <c r="H86" s="87" t="s">
        <v>335</v>
      </c>
      <c r="I86" s="34">
        <v>33.0</v>
      </c>
      <c r="J86" s="31">
        <v>34500.0</v>
      </c>
      <c r="K86" s="31">
        <v>1138500.0</v>
      </c>
      <c r="L86" s="93">
        <f>SUM(K86:K89)</f>
        <v>1924100</v>
      </c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412</v>
      </c>
      <c r="C87" s="30" t="s">
        <v>413</v>
      </c>
      <c r="D87" s="30" t="s">
        <v>61</v>
      </c>
      <c r="E87" s="30" t="s">
        <v>70</v>
      </c>
      <c r="F87" s="87" t="s">
        <v>71</v>
      </c>
      <c r="G87" s="87" t="s">
        <v>334</v>
      </c>
      <c r="H87" s="87" t="s">
        <v>335</v>
      </c>
      <c r="I87" s="34">
        <v>14.0</v>
      </c>
      <c r="J87" s="31">
        <v>34500.0</v>
      </c>
      <c r="K87" s="31">
        <v>483000.0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412</v>
      </c>
      <c r="C88" s="30" t="s">
        <v>413</v>
      </c>
      <c r="D88" s="30" t="s">
        <v>61</v>
      </c>
      <c r="E88" s="30" t="s">
        <v>62</v>
      </c>
      <c r="F88" s="87" t="s">
        <v>71</v>
      </c>
      <c r="G88" s="87" t="s">
        <v>414</v>
      </c>
      <c r="H88" s="87" t="s">
        <v>415</v>
      </c>
      <c r="I88" s="34">
        <v>50.0</v>
      </c>
      <c r="J88" s="31">
        <v>3200.0</v>
      </c>
      <c r="K88" s="31">
        <v>160000.0</v>
      </c>
      <c r="L88" s="64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30" t="s">
        <v>416</v>
      </c>
      <c r="C89" s="30" t="s">
        <v>67</v>
      </c>
      <c r="D89" s="30" t="s">
        <v>61</v>
      </c>
      <c r="E89" s="30" t="s">
        <v>62</v>
      </c>
      <c r="F89" s="87" t="s">
        <v>63</v>
      </c>
      <c r="G89" s="87" t="s">
        <v>311</v>
      </c>
      <c r="H89" s="87" t="s">
        <v>312</v>
      </c>
      <c r="I89" s="34">
        <v>46.0</v>
      </c>
      <c r="J89" s="31">
        <v>3100.0</v>
      </c>
      <c r="K89" s="31">
        <v>142600.0</v>
      </c>
      <c r="L89" s="71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2" t="s">
        <v>66</v>
      </c>
      <c r="B90" s="30" t="s">
        <v>417</v>
      </c>
      <c r="C90" s="30" t="s">
        <v>98</v>
      </c>
      <c r="D90" s="30" t="s">
        <v>61</v>
      </c>
      <c r="E90" s="30" t="s">
        <v>62</v>
      </c>
      <c r="F90" s="87" t="s">
        <v>71</v>
      </c>
      <c r="G90" s="87" t="s">
        <v>418</v>
      </c>
      <c r="H90" s="87" t="s">
        <v>419</v>
      </c>
      <c r="I90" s="34">
        <v>1.0</v>
      </c>
      <c r="J90" s="31">
        <v>135800.0</v>
      </c>
      <c r="K90" s="31">
        <v>135800.0</v>
      </c>
      <c r="L90" s="93">
        <f>SUM(K90:K91)</f>
        <v>536900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71"/>
      <c r="B91" s="30" t="s">
        <v>66</v>
      </c>
      <c r="C91" s="30" t="s">
        <v>67</v>
      </c>
      <c r="D91" s="30" t="s">
        <v>61</v>
      </c>
      <c r="E91" s="30" t="s">
        <v>62</v>
      </c>
      <c r="F91" s="87" t="s">
        <v>63</v>
      </c>
      <c r="G91" s="87" t="s">
        <v>348</v>
      </c>
      <c r="H91" s="87" t="s">
        <v>349</v>
      </c>
      <c r="I91" s="34">
        <v>210.0</v>
      </c>
      <c r="J91" s="31">
        <v>1910.0</v>
      </c>
      <c r="K91" s="31">
        <v>401100.0</v>
      </c>
      <c r="L91" s="71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92" t="s">
        <v>82</v>
      </c>
      <c r="B92" s="30" t="s">
        <v>83</v>
      </c>
      <c r="C92" s="30" t="s">
        <v>84</v>
      </c>
      <c r="D92" s="30" t="s">
        <v>85</v>
      </c>
      <c r="E92" s="30" t="s">
        <v>185</v>
      </c>
      <c r="F92" s="87" t="s">
        <v>63</v>
      </c>
      <c r="G92" s="87" t="s">
        <v>420</v>
      </c>
      <c r="H92" s="87" t="s">
        <v>421</v>
      </c>
      <c r="I92" s="34">
        <v>2.0</v>
      </c>
      <c r="J92" s="31">
        <v>65120.0</v>
      </c>
      <c r="K92" s="31">
        <v>130240.0</v>
      </c>
      <c r="L92" s="93">
        <f>SUM(K92:K94)</f>
        <v>490140</v>
      </c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83</v>
      </c>
      <c r="C93" s="30" t="s">
        <v>84</v>
      </c>
      <c r="D93" s="30" t="s">
        <v>85</v>
      </c>
      <c r="E93" s="30" t="s">
        <v>62</v>
      </c>
      <c r="F93" s="87" t="s">
        <v>71</v>
      </c>
      <c r="G93" s="87" t="s">
        <v>422</v>
      </c>
      <c r="H93" s="87" t="s">
        <v>423</v>
      </c>
      <c r="I93" s="34">
        <v>4.0</v>
      </c>
      <c r="J93" s="31">
        <v>50600.0</v>
      </c>
      <c r="K93" s="31">
        <v>202400.0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71"/>
      <c r="B94" s="30" t="s">
        <v>83</v>
      </c>
      <c r="C94" s="30" t="s">
        <v>84</v>
      </c>
      <c r="D94" s="30" t="s">
        <v>85</v>
      </c>
      <c r="E94" s="30" t="s">
        <v>62</v>
      </c>
      <c r="F94" s="87" t="s">
        <v>63</v>
      </c>
      <c r="G94" s="87" t="s">
        <v>346</v>
      </c>
      <c r="H94" s="87" t="s">
        <v>347</v>
      </c>
      <c r="I94" s="34">
        <v>50.0</v>
      </c>
      <c r="J94" s="31">
        <v>3150.0</v>
      </c>
      <c r="K94" s="31">
        <v>157500.0</v>
      </c>
      <c r="L94" s="71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287</v>
      </c>
      <c r="B95" s="30" t="s">
        <v>424</v>
      </c>
      <c r="C95" s="30" t="s">
        <v>333</v>
      </c>
      <c r="D95" s="30" t="s">
        <v>61</v>
      </c>
      <c r="E95" s="30" t="s">
        <v>62</v>
      </c>
      <c r="F95" s="87" t="s">
        <v>63</v>
      </c>
      <c r="G95" s="87" t="s">
        <v>425</v>
      </c>
      <c r="H95" s="87" t="s">
        <v>426</v>
      </c>
      <c r="I95" s="34">
        <v>5.0</v>
      </c>
      <c r="J95" s="31">
        <v>45100.0</v>
      </c>
      <c r="K95" s="31">
        <v>225500.0</v>
      </c>
      <c r="L95" s="91">
        <f>SUM(K95)</f>
        <v>225500</v>
      </c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92" t="s">
        <v>207</v>
      </c>
      <c r="B96" s="148" t="s">
        <v>208</v>
      </c>
      <c r="C96" s="30" t="s">
        <v>67</v>
      </c>
      <c r="D96" s="30" t="s">
        <v>105</v>
      </c>
      <c r="E96" s="30" t="s">
        <v>106</v>
      </c>
      <c r="F96" s="87" t="s">
        <v>63</v>
      </c>
      <c r="G96" s="87" t="s">
        <v>209</v>
      </c>
      <c r="H96" s="87" t="s">
        <v>210</v>
      </c>
      <c r="I96" s="31">
        <v>3000.0</v>
      </c>
      <c r="J96" s="34">
        <v>920.0</v>
      </c>
      <c r="K96" s="31">
        <v>2760000.0</v>
      </c>
      <c r="L96" s="93">
        <f>SUM(K96:K97)</f>
        <v>3586000</v>
      </c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71"/>
      <c r="B97" s="148" t="s">
        <v>208</v>
      </c>
      <c r="C97" s="30" t="s">
        <v>67</v>
      </c>
      <c r="D97" s="30" t="s">
        <v>105</v>
      </c>
      <c r="E97" s="30" t="s">
        <v>62</v>
      </c>
      <c r="F97" s="87" t="s">
        <v>71</v>
      </c>
      <c r="G97" s="87" t="s">
        <v>74</v>
      </c>
      <c r="H97" s="87" t="s">
        <v>75</v>
      </c>
      <c r="I97" s="34">
        <v>28.0</v>
      </c>
      <c r="J97" s="31">
        <v>29500.0</v>
      </c>
      <c r="K97" s="31">
        <v>826000.0</v>
      </c>
      <c r="L97" s="71"/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2" t="s">
        <v>96</v>
      </c>
      <c r="B98" s="30" t="s">
        <v>165</v>
      </c>
      <c r="C98" s="30" t="s">
        <v>67</v>
      </c>
      <c r="D98" s="30" t="s">
        <v>61</v>
      </c>
      <c r="E98" s="30" t="s">
        <v>70</v>
      </c>
      <c r="F98" s="87" t="s">
        <v>29</v>
      </c>
      <c r="G98" s="87" t="s">
        <v>166</v>
      </c>
      <c r="H98" s="87" t="s">
        <v>167</v>
      </c>
      <c r="I98" s="34">
        <v>1.0</v>
      </c>
      <c r="J98" s="31">
        <v>267800.0</v>
      </c>
      <c r="K98" s="31">
        <v>267800.0</v>
      </c>
      <c r="L98" s="93">
        <f>SUM(K98:K110)</f>
        <v>5492540</v>
      </c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427</v>
      </c>
      <c r="C99" s="30" t="s">
        <v>98</v>
      </c>
      <c r="D99" s="30" t="s">
        <v>148</v>
      </c>
      <c r="E99" s="30" t="s">
        <v>70</v>
      </c>
      <c r="F99" s="87" t="s">
        <v>71</v>
      </c>
      <c r="G99" s="87" t="s">
        <v>428</v>
      </c>
      <c r="H99" s="87" t="s">
        <v>429</v>
      </c>
      <c r="I99" s="34">
        <v>18.0</v>
      </c>
      <c r="J99" s="31">
        <v>3600.0</v>
      </c>
      <c r="K99" s="31">
        <v>64800.0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430</v>
      </c>
      <c r="C100" s="30" t="s">
        <v>431</v>
      </c>
      <c r="D100" s="30" t="s">
        <v>105</v>
      </c>
      <c r="E100" s="30" t="s">
        <v>70</v>
      </c>
      <c r="F100" s="87" t="s">
        <v>29</v>
      </c>
      <c r="G100" s="87" t="s">
        <v>432</v>
      </c>
      <c r="H100" s="87" t="s">
        <v>433</v>
      </c>
      <c r="I100" s="34">
        <v>2.0</v>
      </c>
      <c r="J100" s="31">
        <v>220000.0</v>
      </c>
      <c r="K100" s="31">
        <v>440000.0</v>
      </c>
      <c r="L100" s="64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64"/>
      <c r="B101" s="30" t="s">
        <v>434</v>
      </c>
      <c r="C101" s="30" t="s">
        <v>67</v>
      </c>
      <c r="D101" s="30" t="s">
        <v>61</v>
      </c>
      <c r="E101" s="30" t="s">
        <v>70</v>
      </c>
      <c r="F101" s="87" t="s">
        <v>29</v>
      </c>
      <c r="G101" s="87" t="s">
        <v>435</v>
      </c>
      <c r="H101" s="87" t="s">
        <v>436</v>
      </c>
      <c r="I101" s="34">
        <v>3.0</v>
      </c>
      <c r="J101" s="31">
        <v>308100.0</v>
      </c>
      <c r="K101" s="31">
        <v>924300.0</v>
      </c>
      <c r="L101" s="64"/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434</v>
      </c>
      <c r="C102" s="30" t="s">
        <v>67</v>
      </c>
      <c r="D102" s="30" t="s">
        <v>61</v>
      </c>
      <c r="E102" s="30" t="s">
        <v>70</v>
      </c>
      <c r="F102" s="87" t="s">
        <v>29</v>
      </c>
      <c r="G102" s="87" t="s">
        <v>437</v>
      </c>
      <c r="H102" s="87" t="s">
        <v>438</v>
      </c>
      <c r="I102" s="34">
        <v>3.0</v>
      </c>
      <c r="J102" s="31">
        <v>237000.0</v>
      </c>
      <c r="K102" s="31">
        <v>711000.0</v>
      </c>
      <c r="L102" s="64"/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64"/>
      <c r="B103" s="30" t="s">
        <v>439</v>
      </c>
      <c r="C103" s="30" t="s">
        <v>67</v>
      </c>
      <c r="D103" s="30" t="s">
        <v>61</v>
      </c>
      <c r="E103" s="30" t="s">
        <v>185</v>
      </c>
      <c r="F103" s="87" t="s">
        <v>63</v>
      </c>
      <c r="G103" s="87" t="s">
        <v>440</v>
      </c>
      <c r="H103" s="87" t="s">
        <v>441</v>
      </c>
      <c r="I103" s="34">
        <v>1.0</v>
      </c>
      <c r="J103" s="31">
        <v>340500.0</v>
      </c>
      <c r="K103" s="31">
        <v>340500.0</v>
      </c>
      <c r="L103" s="64"/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64"/>
      <c r="B104" s="30" t="s">
        <v>442</v>
      </c>
      <c r="C104" s="30" t="s">
        <v>98</v>
      </c>
      <c r="D104" s="30" t="s">
        <v>105</v>
      </c>
      <c r="E104" s="30" t="s">
        <v>70</v>
      </c>
      <c r="F104" s="87" t="s">
        <v>29</v>
      </c>
      <c r="G104" s="87" t="s">
        <v>443</v>
      </c>
      <c r="H104" s="87" t="s">
        <v>444</v>
      </c>
      <c r="I104" s="34">
        <v>1.0</v>
      </c>
      <c r="J104" s="31">
        <v>250700.0</v>
      </c>
      <c r="K104" s="31">
        <v>250700.0</v>
      </c>
      <c r="L104" s="64"/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445</v>
      </c>
      <c r="C105" s="30" t="s">
        <v>98</v>
      </c>
      <c r="D105" s="30" t="s">
        <v>61</v>
      </c>
      <c r="E105" s="30" t="s">
        <v>70</v>
      </c>
      <c r="F105" s="87" t="s">
        <v>71</v>
      </c>
      <c r="G105" s="87" t="s">
        <v>330</v>
      </c>
      <c r="H105" s="87" t="s">
        <v>331</v>
      </c>
      <c r="I105" s="34">
        <v>50.0</v>
      </c>
      <c r="J105" s="31">
        <v>4050.0</v>
      </c>
      <c r="K105" s="31">
        <v>202500.0</v>
      </c>
      <c r="L105" s="64"/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446</v>
      </c>
      <c r="C106" s="30" t="s">
        <v>98</v>
      </c>
      <c r="D106" s="30" t="s">
        <v>85</v>
      </c>
      <c r="E106" s="30" t="s">
        <v>70</v>
      </c>
      <c r="F106" s="87" t="s">
        <v>71</v>
      </c>
      <c r="G106" s="87" t="s">
        <v>447</v>
      </c>
      <c r="H106" s="87" t="s">
        <v>448</v>
      </c>
      <c r="I106" s="34">
        <v>10.0</v>
      </c>
      <c r="J106" s="31">
        <v>9670.0</v>
      </c>
      <c r="K106" s="31">
        <v>96700.0</v>
      </c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449</v>
      </c>
      <c r="C107" s="30" t="s">
        <v>98</v>
      </c>
      <c r="D107" s="30" t="s">
        <v>85</v>
      </c>
      <c r="E107" s="30" t="s">
        <v>70</v>
      </c>
      <c r="F107" s="87" t="s">
        <v>71</v>
      </c>
      <c r="G107" s="87" t="s">
        <v>450</v>
      </c>
      <c r="H107" s="87" t="s">
        <v>451</v>
      </c>
      <c r="I107" s="34">
        <v>6.0</v>
      </c>
      <c r="J107" s="31">
        <v>6300.0</v>
      </c>
      <c r="K107" s="31">
        <v>37800.0</v>
      </c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452</v>
      </c>
      <c r="C108" s="30" t="s">
        <v>98</v>
      </c>
      <c r="D108" s="30" t="s">
        <v>61</v>
      </c>
      <c r="E108" s="30" t="s">
        <v>70</v>
      </c>
      <c r="F108" s="87" t="s">
        <v>29</v>
      </c>
      <c r="G108" s="87" t="s">
        <v>453</v>
      </c>
      <c r="H108" s="87" t="s">
        <v>454</v>
      </c>
      <c r="I108" s="34">
        <v>8.0</v>
      </c>
      <c r="J108" s="31">
        <v>267800.0</v>
      </c>
      <c r="K108" s="31">
        <v>2142400.0</v>
      </c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64"/>
      <c r="B109" s="30" t="s">
        <v>452</v>
      </c>
      <c r="C109" s="30" t="s">
        <v>98</v>
      </c>
      <c r="D109" s="30" t="s">
        <v>61</v>
      </c>
      <c r="E109" s="30" t="s">
        <v>70</v>
      </c>
      <c r="F109" s="87" t="s">
        <v>29</v>
      </c>
      <c r="G109" s="87" t="s">
        <v>455</v>
      </c>
      <c r="H109" s="87" t="s">
        <v>456</v>
      </c>
      <c r="I109" s="34">
        <v>8.0</v>
      </c>
      <c r="J109" s="31">
        <v>1600.0</v>
      </c>
      <c r="K109" s="31">
        <v>12800.0</v>
      </c>
      <c r="L109" s="64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71"/>
      <c r="B110" s="30" t="s">
        <v>457</v>
      </c>
      <c r="C110" s="30" t="s">
        <v>98</v>
      </c>
      <c r="D110" s="30" t="s">
        <v>61</v>
      </c>
      <c r="E110" s="30" t="s">
        <v>62</v>
      </c>
      <c r="F110" s="87" t="s">
        <v>63</v>
      </c>
      <c r="G110" s="87" t="s">
        <v>458</v>
      </c>
      <c r="H110" s="87" t="s">
        <v>459</v>
      </c>
      <c r="I110" s="34">
        <v>1.0</v>
      </c>
      <c r="J110" s="31">
        <v>1240.0</v>
      </c>
      <c r="K110" s="31">
        <v>1240.0</v>
      </c>
      <c r="L110" s="71"/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92" t="s">
        <v>99</v>
      </c>
      <c r="B111" s="30" t="s">
        <v>460</v>
      </c>
      <c r="C111" s="30" t="s">
        <v>461</v>
      </c>
      <c r="D111" s="30" t="s">
        <v>61</v>
      </c>
      <c r="E111" s="30" t="s">
        <v>70</v>
      </c>
      <c r="F111" s="87" t="s">
        <v>29</v>
      </c>
      <c r="G111" s="87" t="s">
        <v>462</v>
      </c>
      <c r="H111" s="87" t="s">
        <v>463</v>
      </c>
      <c r="I111" s="34">
        <v>100.0</v>
      </c>
      <c r="J111" s="31">
        <v>10000.0</v>
      </c>
      <c r="K111" s="31">
        <v>1000000.0</v>
      </c>
      <c r="L111" s="93">
        <f>SUM(K111:K117)</f>
        <v>1756040</v>
      </c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64"/>
      <c r="B112" s="30" t="s">
        <v>104</v>
      </c>
      <c r="C112" s="30" t="s">
        <v>98</v>
      </c>
      <c r="D112" s="30" t="s">
        <v>105</v>
      </c>
      <c r="E112" s="30" t="s">
        <v>70</v>
      </c>
      <c r="F112" s="87" t="s">
        <v>71</v>
      </c>
      <c r="G112" s="87" t="s">
        <v>464</v>
      </c>
      <c r="H112" s="87" t="s">
        <v>465</v>
      </c>
      <c r="I112" s="34">
        <v>16.0</v>
      </c>
      <c r="J112" s="31">
        <v>26040.0</v>
      </c>
      <c r="K112" s="31">
        <v>416640.0</v>
      </c>
      <c r="L112" s="64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64"/>
      <c r="B113" s="30" t="s">
        <v>466</v>
      </c>
      <c r="C113" s="30" t="s">
        <v>67</v>
      </c>
      <c r="D113" s="30" t="s">
        <v>148</v>
      </c>
      <c r="E113" s="30" t="s">
        <v>70</v>
      </c>
      <c r="F113" s="87" t="s">
        <v>71</v>
      </c>
      <c r="G113" s="87" t="s">
        <v>467</v>
      </c>
      <c r="H113" s="87" t="s">
        <v>468</v>
      </c>
      <c r="I113" s="34">
        <v>8.0</v>
      </c>
      <c r="J113" s="31">
        <v>15160.0</v>
      </c>
      <c r="K113" s="31">
        <v>121280.0</v>
      </c>
      <c r="L113" s="64"/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149" t="s">
        <v>469</v>
      </c>
      <c r="C114" s="30" t="s">
        <v>98</v>
      </c>
      <c r="D114" s="30" t="s">
        <v>61</v>
      </c>
      <c r="E114" s="30" t="s">
        <v>70</v>
      </c>
      <c r="F114" s="87" t="s">
        <v>71</v>
      </c>
      <c r="G114" s="87" t="s">
        <v>470</v>
      </c>
      <c r="H114" s="87" t="s">
        <v>471</v>
      </c>
      <c r="I114" s="34">
        <v>20.0</v>
      </c>
      <c r="J114" s="31">
        <v>4520.0</v>
      </c>
      <c r="K114" s="31">
        <v>90400.0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404</v>
      </c>
      <c r="C115" s="30" t="s">
        <v>405</v>
      </c>
      <c r="D115" s="30" t="s">
        <v>61</v>
      </c>
      <c r="E115" s="30" t="s">
        <v>70</v>
      </c>
      <c r="F115" s="87" t="s">
        <v>71</v>
      </c>
      <c r="G115" s="87" t="s">
        <v>472</v>
      </c>
      <c r="H115" s="87" t="s">
        <v>473</v>
      </c>
      <c r="I115" s="34">
        <v>2.0</v>
      </c>
      <c r="J115" s="31">
        <v>5460.0</v>
      </c>
      <c r="K115" s="31">
        <v>10920.0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474</v>
      </c>
      <c r="C116" s="30" t="s">
        <v>67</v>
      </c>
      <c r="D116" s="30" t="s">
        <v>61</v>
      </c>
      <c r="E116" s="30" t="s">
        <v>70</v>
      </c>
      <c r="F116" s="87" t="s">
        <v>71</v>
      </c>
      <c r="G116" s="87" t="s">
        <v>475</v>
      </c>
      <c r="H116" s="87" t="s">
        <v>476</v>
      </c>
      <c r="I116" s="34">
        <v>2.0</v>
      </c>
      <c r="J116" s="31">
        <v>3900.0</v>
      </c>
      <c r="K116" s="31">
        <v>7800.0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71"/>
      <c r="B117" s="30" t="s">
        <v>404</v>
      </c>
      <c r="C117" s="30" t="s">
        <v>405</v>
      </c>
      <c r="D117" s="30" t="s">
        <v>61</v>
      </c>
      <c r="E117" s="30" t="s">
        <v>62</v>
      </c>
      <c r="F117" s="87" t="s">
        <v>63</v>
      </c>
      <c r="G117" s="87" t="s">
        <v>324</v>
      </c>
      <c r="H117" s="87" t="s">
        <v>325</v>
      </c>
      <c r="I117" s="34">
        <v>50.0</v>
      </c>
      <c r="J117" s="31">
        <v>2180.0</v>
      </c>
      <c r="K117" s="31">
        <v>109000.0</v>
      </c>
      <c r="L117" s="71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87" t="s">
        <v>175</v>
      </c>
      <c r="B118" s="30" t="s">
        <v>176</v>
      </c>
      <c r="C118" s="30" t="s">
        <v>177</v>
      </c>
      <c r="D118" s="30" t="s">
        <v>148</v>
      </c>
      <c r="E118" s="30" t="s">
        <v>62</v>
      </c>
      <c r="F118" s="87" t="s">
        <v>63</v>
      </c>
      <c r="G118" s="87" t="s">
        <v>477</v>
      </c>
      <c r="H118" s="87" t="s">
        <v>478</v>
      </c>
      <c r="I118" s="34">
        <v>16.0</v>
      </c>
      <c r="J118" s="31">
        <v>8000.0</v>
      </c>
      <c r="K118" s="31">
        <v>128000.0</v>
      </c>
      <c r="L118" s="91">
        <f>SUM(K118)</f>
        <v>128000</v>
      </c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92" t="s">
        <v>182</v>
      </c>
      <c r="B119" s="30" t="s">
        <v>479</v>
      </c>
      <c r="C119" s="30" t="s">
        <v>101</v>
      </c>
      <c r="D119" s="30" t="s">
        <v>61</v>
      </c>
      <c r="E119" s="30" t="s">
        <v>62</v>
      </c>
      <c r="F119" s="87" t="s">
        <v>71</v>
      </c>
      <c r="G119" s="87" t="s">
        <v>480</v>
      </c>
      <c r="H119" s="172" t="s">
        <v>481</v>
      </c>
      <c r="I119" s="34">
        <v>1.0</v>
      </c>
      <c r="J119" s="31">
        <v>34900.0</v>
      </c>
      <c r="K119" s="31">
        <v>34900.0</v>
      </c>
      <c r="L119" s="93">
        <f>SUM(K119:K120)</f>
        <v>35900</v>
      </c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71"/>
      <c r="B120" s="30" t="s">
        <v>479</v>
      </c>
      <c r="C120" s="30" t="s">
        <v>101</v>
      </c>
      <c r="D120" s="30" t="s">
        <v>61</v>
      </c>
      <c r="E120" s="30" t="s">
        <v>62</v>
      </c>
      <c r="F120" s="87" t="s">
        <v>71</v>
      </c>
      <c r="G120" s="87" t="s">
        <v>482</v>
      </c>
      <c r="H120" s="87" t="s">
        <v>483</v>
      </c>
      <c r="I120" s="34">
        <v>1.0</v>
      </c>
      <c r="J120" s="31">
        <v>1000.0</v>
      </c>
      <c r="K120" s="31">
        <v>1000.0</v>
      </c>
      <c r="L120" s="71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92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3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71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71"/>
      <c r="M123" s="142"/>
      <c r="N123" s="143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92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93"/>
      <c r="M124" s="142"/>
      <c r="N124" s="143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148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42"/>
      <c r="N125" s="143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42"/>
      <c r="N126" s="143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6.5" hidden="1" customHeight="1">
      <c r="A127" s="71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71"/>
      <c r="M127" s="142"/>
      <c r="N127" s="143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87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91"/>
      <c r="M128" s="142"/>
      <c r="N128" s="143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92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93"/>
      <c r="M129" s="142"/>
      <c r="N129" s="143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42"/>
      <c r="N130" s="143"/>
      <c r="O130" s="45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42"/>
      <c r="N131" s="143"/>
      <c r="O131" s="45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</row>
    <row r="132" ht="16.5" hidden="1" customHeight="1">
      <c r="A132" s="64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64"/>
      <c r="M132" s="142"/>
      <c r="N132" s="143"/>
      <c r="O132" s="45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</row>
    <row r="133" ht="16.5" hidden="1" customHeight="1">
      <c r="A133" s="71"/>
      <c r="B133" s="30"/>
      <c r="C133" s="30"/>
      <c r="D133" s="30"/>
      <c r="E133" s="30"/>
      <c r="F133" s="87"/>
      <c r="G133" s="87"/>
      <c r="H133" s="87"/>
      <c r="I133" s="34"/>
      <c r="J133" s="31"/>
      <c r="K133" s="31"/>
      <c r="L133" s="71"/>
      <c r="M133" s="142"/>
      <c r="N133" s="143"/>
      <c r="O133" s="45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</row>
    <row r="134" ht="17.25" customHeight="1">
      <c r="A134" s="150" t="str">
        <f>MID(CELL("filename",$A$1),FIND("]",CELL("filename",$A$1))+1,100)&amp;" TOTAL"</f>
        <v>#VALUE!</v>
      </c>
      <c r="B134" s="151"/>
      <c r="C134" s="151"/>
      <c r="D134" s="151"/>
      <c r="E134" s="151"/>
      <c r="F134" s="97"/>
      <c r="G134" s="97"/>
      <c r="H134" s="97"/>
      <c r="I134" s="151"/>
      <c r="J134" s="152"/>
      <c r="K134" s="100">
        <f t="shared" ref="K134:L134" si="8">SUM(K86:K133)</f>
        <v>14175120</v>
      </c>
      <c r="L134" s="100">
        <f t="shared" si="8"/>
        <v>14175120</v>
      </c>
      <c r="M134" s="153"/>
      <c r="N134" s="15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70"/>
      <c r="I140" s="42"/>
      <c r="J140" s="42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55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155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1"/>
      <c r="K146" s="42"/>
      <c r="L146" s="42"/>
      <c r="M146" s="43"/>
      <c r="N146" s="44"/>
      <c r="O146" s="4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24:A127"/>
    <mergeCell ref="A129:A133"/>
    <mergeCell ref="A90:A91"/>
    <mergeCell ref="A92:A94"/>
    <mergeCell ref="A96:A97"/>
    <mergeCell ref="A98:A110"/>
    <mergeCell ref="A111:A117"/>
    <mergeCell ref="A119:A120"/>
    <mergeCell ref="A121:A123"/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6:C18"/>
    <mergeCell ref="D16:D18"/>
    <mergeCell ref="C24:C26"/>
    <mergeCell ref="A36:N36"/>
    <mergeCell ref="N39:N45"/>
    <mergeCell ref="N49:N51"/>
    <mergeCell ref="N52:N53"/>
    <mergeCell ref="N54:N58"/>
    <mergeCell ref="L65:L66"/>
    <mergeCell ref="A67:J67"/>
    <mergeCell ref="L70:L73"/>
    <mergeCell ref="A74:J74"/>
    <mergeCell ref="A39:A45"/>
    <mergeCell ref="A49:A51"/>
    <mergeCell ref="A52:A53"/>
    <mergeCell ref="A54:A58"/>
    <mergeCell ref="A65:A66"/>
    <mergeCell ref="B65:B66"/>
    <mergeCell ref="A86:A89"/>
    <mergeCell ref="L111:L117"/>
    <mergeCell ref="L119:L120"/>
    <mergeCell ref="L121:L123"/>
    <mergeCell ref="L124:L127"/>
    <mergeCell ref="L129:L133"/>
    <mergeCell ref="A84:N84"/>
    <mergeCell ref="M85:N85"/>
    <mergeCell ref="L86:L89"/>
    <mergeCell ref="L90:L91"/>
    <mergeCell ref="L92:L94"/>
    <mergeCell ref="L96:L97"/>
    <mergeCell ref="L98:L110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484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485</v>
      </c>
      <c r="B9" s="3"/>
      <c r="C9" s="31">
        <v>1.152071E7</v>
      </c>
      <c r="D9" s="47" t="s">
        <v>485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486</v>
      </c>
      <c r="B10" s="3"/>
      <c r="C10" s="31">
        <v>9877480.0</v>
      </c>
      <c r="D10" s="47" t="s">
        <v>486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487</v>
      </c>
      <c r="B11" s="3"/>
      <c r="C11" s="31">
        <v>9658610.0</v>
      </c>
      <c r="D11" s="47" t="s">
        <v>487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488</v>
      </c>
      <c r="B12" s="3"/>
      <c r="C12" s="31">
        <v>2492140.0</v>
      </c>
      <c r="D12" s="47" t="s">
        <v>488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489</v>
      </c>
      <c r="B13" s="3"/>
      <c r="C13" s="31">
        <v>5054720.0</v>
      </c>
      <c r="D13" s="47" t="s">
        <v>489</v>
      </c>
      <c r="E13" s="3"/>
      <c r="F13" s="34">
        <v>0.0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19</v>
      </c>
      <c r="B14" s="3"/>
      <c r="C14" s="49">
        <v>3.860366E7</v>
      </c>
      <c r="D14" s="48" t="s">
        <v>19</v>
      </c>
      <c r="E14" s="3"/>
      <c r="F14" s="49">
        <v>5.132297E7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20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21</v>
      </c>
      <c r="B17" s="56" t="s">
        <v>490</v>
      </c>
      <c r="C17" s="56" t="s">
        <v>23</v>
      </c>
      <c r="D17" s="57" t="s">
        <v>24</v>
      </c>
      <c r="E17" s="56" t="s">
        <v>25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26</v>
      </c>
      <c r="B18" s="61">
        <f>SUMIF(F41:F52,"RED",M41:M52)</f>
        <v>4352280</v>
      </c>
      <c r="C18" s="61">
        <f>L61*C38</f>
        <v>0</v>
      </c>
      <c r="D18" s="61">
        <f>L68*D38</f>
        <v>0</v>
      </c>
      <c r="E18" s="61">
        <f>SUM(B18:D18)</f>
        <v>4352280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27</v>
      </c>
      <c r="B19" s="61">
        <f>SUMIF(F41:F52,"BLUE",M41:M52)</f>
        <v>702440</v>
      </c>
      <c r="C19" s="62"/>
      <c r="D19" s="62"/>
      <c r="E19" s="61">
        <f t="shared" ref="E19:E21" si="1">SUM(B19:C19)</f>
        <v>702440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28</v>
      </c>
      <c r="B20" s="61">
        <f>SUMIF(F41:F52,"OEM",M41:M52)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29</v>
      </c>
      <c r="B21" s="61">
        <f>SUMIF(F41:F52,"NO LOGO",M41:M52)</f>
        <v>0</v>
      </c>
      <c r="C21" s="65"/>
      <c r="D21" s="65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491</v>
      </c>
      <c r="B22" s="66">
        <f>SUM(B18:B21)</f>
        <v>5054720</v>
      </c>
      <c r="C22" s="66">
        <f t="shared" ref="C22:D22" si="2">C18</f>
        <v>0</v>
      </c>
      <c r="D22" s="66">
        <f t="shared" si="2"/>
        <v>0</v>
      </c>
      <c r="E22" s="66">
        <f>SUM(E18:E21)</f>
        <v>5054720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31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21</v>
      </c>
      <c r="B25" s="56" t="s">
        <v>492</v>
      </c>
      <c r="C25" s="56" t="s">
        <v>23</v>
      </c>
      <c r="D25" s="56" t="s">
        <v>25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SUMIFS(K73:K147,O73:O147,"&lt;&gt;"&amp;"CONVUM",O73:O147,"&lt;&gt;"&amp;"MYOTOKU CHINA",F73:F147,"RED")</f>
        <v>0</v>
      </c>
      <c r="C26" s="61">
        <f>SUMIFS(K73:K147,O73:O147,"CONVUM",F73:F147,"RED")</f>
        <v>0</v>
      </c>
      <c r="D26" s="61">
        <f t="shared" ref="D26:D29" si="3">SUM(B26:C26)</f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SUMIFS(K73:K147,O73:O147,"&lt;&gt;"&amp;"CONVUM",O73:O147,"&lt;&gt;"&amp;"MYOTOKU CHINA",F73:F147,"BLUE")</f>
        <v>0</v>
      </c>
      <c r="C27" s="62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28</v>
      </c>
      <c r="B28" s="61">
        <f>SUMIFS(K73:K147,O73:O147,"&lt;&gt;"&amp;"CONVUM",O73:O147,"&lt;&gt;"&amp;"MYOTOKU CHINA",F73:F147,"OEM")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29</v>
      </c>
      <c r="B29" s="61">
        <f>SUMIFS(K73:K147,O73:O147,"&lt;&gt;"&amp;"CONVUM",O73:O147,"&lt;&gt;"&amp;"MYOTOKU CHINA",F73:F147,"NO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493</v>
      </c>
      <c r="B30" s="66">
        <f>SUM(B26:B29)</f>
        <v>0</v>
      </c>
      <c r="C30" s="66">
        <f>C26</f>
        <v>0</v>
      </c>
      <c r="D30" s="66">
        <f>SUM(D26:D29)</f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494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21</v>
      </c>
      <c r="B33" s="56" t="s">
        <v>495</v>
      </c>
      <c r="C33" s="56" t="s">
        <v>23</v>
      </c>
      <c r="D33" s="57" t="s">
        <v>24</v>
      </c>
      <c r="E33" s="56" t="s">
        <v>25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36</v>
      </c>
      <c r="B34" s="61">
        <v>6.330345E7</v>
      </c>
      <c r="C34" s="61">
        <f>3868500*C38</f>
        <v>36259063.65</v>
      </c>
      <c r="D34" s="61">
        <f>0*D38</f>
        <v>0</v>
      </c>
      <c r="E34" s="61">
        <f t="shared" ref="E34:E36" si="4">SUM(B34:D34)</f>
        <v>99562513.65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37</v>
      </c>
      <c r="B35" s="61">
        <v>0.0</v>
      </c>
      <c r="C35" s="61">
        <f>4126500*C38</f>
        <v>38677271.85</v>
      </c>
      <c r="D35" s="61">
        <f>0*D38</f>
        <v>0</v>
      </c>
      <c r="E35" s="61">
        <f t="shared" si="4"/>
        <v>38677271.85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38</v>
      </c>
      <c r="B36" s="61">
        <v>2.0114368E8</v>
      </c>
      <c r="C36" s="61">
        <f>6560000*C38</f>
        <v>61486224</v>
      </c>
      <c r="D36" s="61">
        <v>0.0</v>
      </c>
      <c r="E36" s="61">
        <f t="shared" si="4"/>
        <v>262629904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496</v>
      </c>
      <c r="B37" s="66">
        <f t="shared" ref="B37:E37" si="5">SUM(B34:B36)</f>
        <v>264447130</v>
      </c>
      <c r="C37" s="66">
        <f t="shared" si="5"/>
        <v>136422559.5</v>
      </c>
      <c r="D37" s="66">
        <f t="shared" si="5"/>
        <v>0</v>
      </c>
      <c r="E37" s="66">
        <f t="shared" si="5"/>
        <v>400869689.5</v>
      </c>
      <c r="F37" s="43"/>
      <c r="G37" s="58"/>
      <c r="H37" s="43"/>
      <c r="I37" s="44"/>
      <c r="J37" s="42"/>
      <c r="K37" s="75" t="s">
        <v>40</v>
      </c>
      <c r="L37" s="75" t="s">
        <v>41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42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43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44</v>
      </c>
      <c r="B40" s="82" t="s">
        <v>45</v>
      </c>
      <c r="C40" s="82" t="s">
        <v>46</v>
      </c>
      <c r="D40" s="82" t="s">
        <v>47</v>
      </c>
      <c r="E40" s="82" t="s">
        <v>48</v>
      </c>
      <c r="F40" s="82" t="s">
        <v>49</v>
      </c>
      <c r="G40" s="82" t="s">
        <v>50</v>
      </c>
      <c r="H40" s="83" t="s">
        <v>51</v>
      </c>
      <c r="I40" s="82" t="s">
        <v>52</v>
      </c>
      <c r="J40" s="84" t="s">
        <v>53</v>
      </c>
      <c r="K40" s="86" t="s">
        <v>497</v>
      </c>
      <c r="L40" s="85" t="s">
        <v>55</v>
      </c>
      <c r="M40" s="86" t="s">
        <v>56</v>
      </c>
      <c r="N40" s="86" t="s">
        <v>57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2" t="s">
        <v>135</v>
      </c>
      <c r="B41" s="30" t="s">
        <v>412</v>
      </c>
      <c r="C41" s="30" t="s">
        <v>413</v>
      </c>
      <c r="D41" s="30" t="s">
        <v>61</v>
      </c>
      <c r="E41" s="30" t="s">
        <v>70</v>
      </c>
      <c r="F41" s="87" t="s">
        <v>71</v>
      </c>
      <c r="G41" s="87" t="s">
        <v>334</v>
      </c>
      <c r="H41" s="87" t="s">
        <v>335</v>
      </c>
      <c r="I41" s="30"/>
      <c r="J41" s="35">
        <v>50.0</v>
      </c>
      <c r="K41" s="89" t="s">
        <v>41</v>
      </c>
      <c r="L41" s="90">
        <v>34500.0</v>
      </c>
      <c r="M41" s="31">
        <v>1725000.0</v>
      </c>
      <c r="N41" s="93">
        <f>SUM(M41:M43)</f>
        <v>2027600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412</v>
      </c>
      <c r="C42" s="30" t="s">
        <v>413</v>
      </c>
      <c r="D42" s="30" t="s">
        <v>61</v>
      </c>
      <c r="E42" s="30" t="s">
        <v>62</v>
      </c>
      <c r="F42" s="87" t="s">
        <v>71</v>
      </c>
      <c r="G42" s="87" t="s">
        <v>414</v>
      </c>
      <c r="H42" s="87" t="s">
        <v>415</v>
      </c>
      <c r="I42" s="30"/>
      <c r="J42" s="35">
        <v>50.0</v>
      </c>
      <c r="K42" s="89" t="s">
        <v>41</v>
      </c>
      <c r="L42" s="90">
        <v>3200.0</v>
      </c>
      <c r="M42" s="31">
        <v>160000.0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71"/>
      <c r="B43" s="30" t="s">
        <v>416</v>
      </c>
      <c r="C43" s="30" t="s">
        <v>67</v>
      </c>
      <c r="D43" s="30" t="s">
        <v>61</v>
      </c>
      <c r="E43" s="30" t="s">
        <v>62</v>
      </c>
      <c r="F43" s="87" t="s">
        <v>63</v>
      </c>
      <c r="G43" s="87" t="s">
        <v>311</v>
      </c>
      <c r="H43" s="87" t="s">
        <v>312</v>
      </c>
      <c r="I43" s="30"/>
      <c r="J43" s="35">
        <v>46.0</v>
      </c>
      <c r="K43" s="89" t="s">
        <v>41</v>
      </c>
      <c r="L43" s="90">
        <v>3100.0</v>
      </c>
      <c r="M43" s="31">
        <v>142600.0</v>
      </c>
      <c r="N43" s="71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58</v>
      </c>
      <c r="B44" s="30" t="s">
        <v>498</v>
      </c>
      <c r="C44" s="30" t="s">
        <v>499</v>
      </c>
      <c r="D44" s="30" t="s">
        <v>148</v>
      </c>
      <c r="E44" s="30" t="s">
        <v>70</v>
      </c>
      <c r="F44" s="87" t="s">
        <v>71</v>
      </c>
      <c r="G44" s="87" t="s">
        <v>500</v>
      </c>
      <c r="H44" s="87" t="s">
        <v>501</v>
      </c>
      <c r="I44" s="30"/>
      <c r="J44" s="35">
        <v>100.0</v>
      </c>
      <c r="K44" s="89" t="s">
        <v>40</v>
      </c>
      <c r="L44" s="90">
        <v>6080.0</v>
      </c>
      <c r="M44" s="31">
        <v>608000.0</v>
      </c>
      <c r="N44" s="91">
        <f t="shared" ref="N44:N45" si="6">SUM(M44)</f>
        <v>608000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66</v>
      </c>
      <c r="B45" s="30" t="s">
        <v>66</v>
      </c>
      <c r="C45" s="30" t="s">
        <v>67</v>
      </c>
      <c r="D45" s="30" t="s">
        <v>61</v>
      </c>
      <c r="E45" s="30" t="s">
        <v>62</v>
      </c>
      <c r="F45" s="87" t="s">
        <v>63</v>
      </c>
      <c r="G45" s="87" t="s">
        <v>348</v>
      </c>
      <c r="H45" s="87" t="s">
        <v>349</v>
      </c>
      <c r="I45" s="30"/>
      <c r="J45" s="35">
        <v>210.0</v>
      </c>
      <c r="K45" s="89" t="s">
        <v>40</v>
      </c>
      <c r="L45" s="90">
        <v>1910.0</v>
      </c>
      <c r="M45" s="31">
        <v>401100.0</v>
      </c>
      <c r="N45" s="91">
        <f t="shared" si="6"/>
        <v>401100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2" t="s">
        <v>82</v>
      </c>
      <c r="B46" s="30" t="s">
        <v>83</v>
      </c>
      <c r="C46" s="30" t="s">
        <v>84</v>
      </c>
      <c r="D46" s="30" t="s">
        <v>85</v>
      </c>
      <c r="E46" s="30" t="s">
        <v>70</v>
      </c>
      <c r="F46" s="87" t="s">
        <v>71</v>
      </c>
      <c r="G46" s="87" t="s">
        <v>502</v>
      </c>
      <c r="H46" s="87" t="s">
        <v>503</v>
      </c>
      <c r="I46" s="30"/>
      <c r="J46" s="35">
        <v>10.0</v>
      </c>
      <c r="K46" s="89" t="s">
        <v>40</v>
      </c>
      <c r="L46" s="90">
        <v>6080.0</v>
      </c>
      <c r="M46" s="31">
        <v>60800.0</v>
      </c>
      <c r="N46" s="93">
        <f>SUM(M46:M48)</f>
        <v>707900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83</v>
      </c>
      <c r="C47" s="30" t="s">
        <v>84</v>
      </c>
      <c r="D47" s="30" t="s">
        <v>85</v>
      </c>
      <c r="E47" s="30" t="s">
        <v>62</v>
      </c>
      <c r="F47" s="87" t="s">
        <v>63</v>
      </c>
      <c r="G47" s="87" t="s">
        <v>346</v>
      </c>
      <c r="H47" s="87" t="s">
        <v>347</v>
      </c>
      <c r="I47" s="30"/>
      <c r="J47" s="35">
        <v>50.0</v>
      </c>
      <c r="K47" s="89" t="s">
        <v>40</v>
      </c>
      <c r="L47" s="90">
        <v>3150.0</v>
      </c>
      <c r="M47" s="31">
        <v>157500.0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83</v>
      </c>
      <c r="C48" s="30" t="s">
        <v>84</v>
      </c>
      <c r="D48" s="30" t="s">
        <v>85</v>
      </c>
      <c r="E48" s="30" t="s">
        <v>62</v>
      </c>
      <c r="F48" s="87" t="s">
        <v>71</v>
      </c>
      <c r="G48" s="87" t="s">
        <v>504</v>
      </c>
      <c r="H48" s="87" t="s">
        <v>505</v>
      </c>
      <c r="I48" s="30"/>
      <c r="J48" s="35">
        <v>20.0</v>
      </c>
      <c r="K48" s="89" t="s">
        <v>40</v>
      </c>
      <c r="L48" s="90">
        <v>24480.0</v>
      </c>
      <c r="M48" s="31">
        <v>489600.0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2" t="s">
        <v>96</v>
      </c>
      <c r="B49" s="30" t="s">
        <v>457</v>
      </c>
      <c r="C49" s="30" t="s">
        <v>98</v>
      </c>
      <c r="D49" s="30" t="s">
        <v>61</v>
      </c>
      <c r="E49" s="30" t="s">
        <v>62</v>
      </c>
      <c r="F49" s="87" t="s">
        <v>63</v>
      </c>
      <c r="G49" s="87" t="s">
        <v>458</v>
      </c>
      <c r="H49" s="87" t="s">
        <v>459</v>
      </c>
      <c r="I49" s="30"/>
      <c r="J49" s="35">
        <v>1.0</v>
      </c>
      <c r="K49" s="89" t="s">
        <v>40</v>
      </c>
      <c r="L49" s="90">
        <v>1240.0</v>
      </c>
      <c r="M49" s="31">
        <v>1240.0</v>
      </c>
      <c r="N49" s="93">
        <f>SUM(M49:M51)</f>
        <v>140120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427</v>
      </c>
      <c r="C50" s="30" t="s">
        <v>98</v>
      </c>
      <c r="D50" s="30" t="s">
        <v>148</v>
      </c>
      <c r="E50" s="30" t="s">
        <v>70</v>
      </c>
      <c r="F50" s="87" t="s">
        <v>71</v>
      </c>
      <c r="G50" s="87" t="s">
        <v>506</v>
      </c>
      <c r="H50" s="87" t="s">
        <v>507</v>
      </c>
      <c r="I50" s="30"/>
      <c r="J50" s="35">
        <v>4.0</v>
      </c>
      <c r="K50" s="89" t="s">
        <v>40</v>
      </c>
      <c r="L50" s="90">
        <v>17470.0</v>
      </c>
      <c r="M50" s="31">
        <v>69880.0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508</v>
      </c>
      <c r="C51" s="30" t="s">
        <v>84</v>
      </c>
      <c r="D51" s="30" t="s">
        <v>85</v>
      </c>
      <c r="E51" s="30" t="s">
        <v>70</v>
      </c>
      <c r="F51" s="87" t="s">
        <v>71</v>
      </c>
      <c r="G51" s="87" t="s">
        <v>509</v>
      </c>
      <c r="H51" s="87" t="s">
        <v>510</v>
      </c>
      <c r="I51" s="30"/>
      <c r="J51" s="35">
        <v>5.0</v>
      </c>
      <c r="K51" s="89" t="s">
        <v>40</v>
      </c>
      <c r="L51" s="90">
        <v>13800.0</v>
      </c>
      <c r="M51" s="31">
        <v>69000.0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182</v>
      </c>
      <c r="B52" s="30" t="s">
        <v>511</v>
      </c>
      <c r="C52" s="30" t="s">
        <v>67</v>
      </c>
      <c r="D52" s="30" t="s">
        <v>61</v>
      </c>
      <c r="E52" s="30" t="s">
        <v>70</v>
      </c>
      <c r="F52" s="87" t="s">
        <v>71</v>
      </c>
      <c r="G52" s="87" t="s">
        <v>395</v>
      </c>
      <c r="H52" s="87" t="s">
        <v>396</v>
      </c>
      <c r="I52" s="30"/>
      <c r="J52" s="35">
        <v>250.0</v>
      </c>
      <c r="K52" s="89" t="s">
        <v>40</v>
      </c>
      <c r="L52" s="90">
        <v>4680.0</v>
      </c>
      <c r="M52" s="31">
        <v>1170000.0</v>
      </c>
      <c r="N52" s="91">
        <f>SUM(M52)</f>
        <v>1170000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0" customHeight="1">
      <c r="A53" s="95" t="str">
        <f>MID(CELL("filename",$A$1),FIND("]",CELL("filename",$A$1))+1,100)&amp;" TOTAL"</f>
        <v>#VALUE!</v>
      </c>
      <c r="B53" s="96"/>
      <c r="C53" s="96"/>
      <c r="D53" s="96"/>
      <c r="E53" s="96"/>
      <c r="F53" s="96"/>
      <c r="G53" s="97"/>
      <c r="H53" s="97"/>
      <c r="I53" s="96"/>
      <c r="J53" s="96"/>
      <c r="K53" s="98"/>
      <c r="L53" s="99"/>
      <c r="M53" s="66">
        <f t="shared" ref="M53:N53" si="7">SUM(M41:M52)</f>
        <v>5054720</v>
      </c>
      <c r="N53" s="100">
        <f t="shared" si="7"/>
        <v>5054720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101"/>
      <c r="B54" s="102"/>
      <c r="C54" s="102"/>
      <c r="D54" s="102"/>
      <c r="E54" s="102"/>
      <c r="F54" s="102"/>
      <c r="G54" s="102"/>
      <c r="H54" s="103"/>
      <c r="I54" s="102"/>
      <c r="J54" s="102"/>
      <c r="K54" s="102"/>
      <c r="L54" s="104"/>
      <c r="M54" s="105"/>
      <c r="N54" s="104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0.25" customHeight="1">
      <c r="A55" s="101" t="s">
        <v>109</v>
      </c>
      <c r="B55" s="106"/>
      <c r="C55" s="107"/>
      <c r="D55" s="107"/>
      <c r="E55" s="107"/>
      <c r="F55" s="107"/>
      <c r="G55" s="107"/>
      <c r="H55" s="108"/>
      <c r="I55" s="107"/>
      <c r="J55" s="107"/>
      <c r="K55" s="43"/>
      <c r="L55" s="109"/>
      <c r="M55" s="43"/>
      <c r="N55" s="109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1"/>
      <c r="B56" s="106"/>
      <c r="C56" s="107"/>
      <c r="D56" s="107"/>
      <c r="E56" s="107"/>
      <c r="F56" s="107"/>
      <c r="G56" s="107"/>
      <c r="H56" s="108"/>
      <c r="I56" s="107"/>
      <c r="J56" s="107"/>
      <c r="K56" s="43"/>
      <c r="L56" s="109"/>
      <c r="M56" s="43"/>
      <c r="N56" s="109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110" t="s">
        <v>110</v>
      </c>
      <c r="B57" s="67"/>
      <c r="C57" s="67"/>
      <c r="D57" s="101"/>
      <c r="E57" s="67"/>
      <c r="F57" s="67"/>
      <c r="G57" s="67"/>
      <c r="H57" s="111"/>
      <c r="I57" s="112"/>
      <c r="J57" s="112"/>
      <c r="K57" s="112"/>
      <c r="L57" s="112"/>
      <c r="M57" s="68"/>
      <c r="N57" s="113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57" t="s">
        <v>44</v>
      </c>
      <c r="B58" s="57" t="s">
        <v>45</v>
      </c>
      <c r="C58" s="57" t="s">
        <v>46</v>
      </c>
      <c r="D58" s="57" t="s">
        <v>512</v>
      </c>
      <c r="E58" s="57" t="s">
        <v>48</v>
      </c>
      <c r="F58" s="57" t="s">
        <v>112</v>
      </c>
      <c r="G58" s="57" t="s">
        <v>50</v>
      </c>
      <c r="H58" s="57" t="s">
        <v>51</v>
      </c>
      <c r="I58" s="57" t="s">
        <v>53</v>
      </c>
      <c r="J58" s="57" t="s">
        <v>113</v>
      </c>
      <c r="K58" s="57" t="s">
        <v>114</v>
      </c>
      <c r="L58" s="114" t="s">
        <v>115</v>
      </c>
      <c r="M58" s="114" t="s">
        <v>116</v>
      </c>
      <c r="N58" s="58"/>
      <c r="O58" s="115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6.5" hidden="1" customHeight="1">
      <c r="A59" s="92"/>
      <c r="B59" s="117"/>
      <c r="C59" s="88"/>
      <c r="D59" s="30"/>
      <c r="E59" s="30"/>
      <c r="F59" s="87"/>
      <c r="G59" s="87"/>
      <c r="H59" s="87"/>
      <c r="I59" s="34"/>
      <c r="J59" s="118"/>
      <c r="K59" s="118"/>
      <c r="L59" s="119"/>
      <c r="M59" s="120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71"/>
      <c r="B60" s="71"/>
      <c r="C60" s="88"/>
      <c r="D60" s="30"/>
      <c r="E60" s="30"/>
      <c r="F60" s="87"/>
      <c r="G60" s="87"/>
      <c r="H60" s="87"/>
      <c r="I60" s="31"/>
      <c r="J60" s="118"/>
      <c r="K60" s="118"/>
      <c r="L60" s="64"/>
      <c r="M60" s="120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21" t="str">
        <f>A53</f>
        <v>#VALUE!</v>
      </c>
      <c r="B61" s="2"/>
      <c r="C61" s="2"/>
      <c r="D61" s="2"/>
      <c r="E61" s="2"/>
      <c r="F61" s="2"/>
      <c r="G61" s="2"/>
      <c r="H61" s="2"/>
      <c r="I61" s="2"/>
      <c r="J61" s="3"/>
      <c r="K61" s="122">
        <f>SUM(K59:K60)</f>
        <v>0</v>
      </c>
      <c r="L61" s="123">
        <f>SUM(L59)</f>
        <v>0</v>
      </c>
      <c r="M61" s="56"/>
      <c r="N61" s="4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1"/>
      <c r="B62" s="67"/>
      <c r="C62" s="67"/>
      <c r="D62" s="101"/>
      <c r="E62" s="67"/>
      <c r="F62" s="67"/>
      <c r="G62" s="67"/>
      <c r="H62" s="111"/>
      <c r="I62" s="112"/>
      <c r="J62" s="112"/>
      <c r="K62" s="112"/>
      <c r="L62" s="112"/>
      <c r="M62" s="68"/>
      <c r="N62" s="113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44</v>
      </c>
      <c r="B63" s="57" t="s">
        <v>45</v>
      </c>
      <c r="C63" s="57" t="s">
        <v>46</v>
      </c>
      <c r="D63" s="57" t="s">
        <v>513</v>
      </c>
      <c r="E63" s="57" t="s">
        <v>48</v>
      </c>
      <c r="F63" s="57" t="s">
        <v>118</v>
      </c>
      <c r="G63" s="57" t="s">
        <v>50</v>
      </c>
      <c r="H63" s="57" t="s">
        <v>51</v>
      </c>
      <c r="I63" s="114" t="s">
        <v>53</v>
      </c>
      <c r="J63" s="114" t="s">
        <v>119</v>
      </c>
      <c r="K63" s="124" t="s">
        <v>120</v>
      </c>
      <c r="L63" s="125" t="s">
        <v>121</v>
      </c>
      <c r="M63" s="124" t="s">
        <v>116</v>
      </c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92"/>
      <c r="B64" s="156"/>
      <c r="C64" s="157"/>
      <c r="D64" s="158"/>
      <c r="E64" s="30"/>
      <c r="F64" s="87"/>
      <c r="G64" s="159"/>
      <c r="H64" s="159"/>
      <c r="I64" s="160"/>
      <c r="J64" s="161"/>
      <c r="K64" s="162"/>
      <c r="L64" s="163"/>
      <c r="M64" s="164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45"/>
      <c r="B65" s="165"/>
      <c r="C65" s="157"/>
      <c r="D65" s="158"/>
      <c r="E65" s="30"/>
      <c r="F65" s="87"/>
      <c r="G65" s="166"/>
      <c r="H65" s="167"/>
      <c r="I65" s="161"/>
      <c r="J65" s="161"/>
      <c r="K65" s="161"/>
      <c r="L65" s="168"/>
      <c r="M65" s="164"/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145"/>
      <c r="B66" s="165"/>
      <c r="C66" s="157"/>
      <c r="D66" s="158"/>
      <c r="E66" s="30"/>
      <c r="F66" s="87"/>
      <c r="G66" s="166"/>
      <c r="H66" s="167"/>
      <c r="I66" s="161"/>
      <c r="J66" s="161"/>
      <c r="K66" s="161"/>
      <c r="L66" s="168"/>
      <c r="M66" s="164"/>
      <c r="N66" s="58"/>
      <c r="O66" s="115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6.5" hidden="1" customHeight="1">
      <c r="A67" s="146"/>
      <c r="B67" s="169"/>
      <c r="C67" s="157"/>
      <c r="D67" s="158"/>
      <c r="E67" s="30"/>
      <c r="F67" s="87"/>
      <c r="G67" s="166"/>
      <c r="H67" s="167"/>
      <c r="I67" s="161"/>
      <c r="J67" s="161"/>
      <c r="K67" s="161"/>
      <c r="L67" s="170"/>
      <c r="M67" s="164"/>
      <c r="N67" s="58"/>
      <c r="O67" s="115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6.5" hidden="1" customHeight="1">
      <c r="A68" s="129" t="str">
        <f>A53</f>
        <v>#VALUE!</v>
      </c>
      <c r="B68" s="80"/>
      <c r="C68" s="80"/>
      <c r="D68" s="80"/>
      <c r="E68" s="80"/>
      <c r="F68" s="80"/>
      <c r="G68" s="80"/>
      <c r="H68" s="80"/>
      <c r="I68" s="80"/>
      <c r="J68" s="130"/>
      <c r="K68" s="131">
        <f>SUM(K64:K67)</f>
        <v>0</v>
      </c>
      <c r="L68" s="131">
        <f>SUM(L64)</f>
        <v>0</v>
      </c>
      <c r="M68" s="132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33"/>
      <c r="B69" s="134"/>
      <c r="C69" s="112"/>
      <c r="D69" s="112"/>
      <c r="E69" s="134"/>
      <c r="F69" s="134"/>
      <c r="G69" s="134"/>
      <c r="H69" s="111"/>
      <c r="I69" s="112"/>
      <c r="J69" s="112"/>
      <c r="K69" s="112"/>
      <c r="L69" s="112"/>
      <c r="M69" s="134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33"/>
      <c r="B70" s="134"/>
      <c r="C70" s="112"/>
      <c r="D70" s="112"/>
      <c r="E70" s="134"/>
      <c r="F70" s="134"/>
      <c r="G70" s="134"/>
      <c r="H70" s="111"/>
      <c r="I70" s="112"/>
      <c r="J70" s="112"/>
      <c r="K70" s="112"/>
      <c r="L70" s="112"/>
      <c r="M70" s="134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33"/>
      <c r="B71" s="134"/>
      <c r="C71" s="112"/>
      <c r="D71" s="112"/>
      <c r="E71" s="134"/>
      <c r="F71" s="134"/>
      <c r="G71" s="134"/>
      <c r="H71" s="111"/>
      <c r="I71" s="112"/>
      <c r="J71" s="112"/>
      <c r="K71" s="112"/>
      <c r="L71" s="112"/>
      <c r="M71" s="134"/>
      <c r="N71" s="11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33"/>
      <c r="B72" s="134"/>
      <c r="C72" s="112"/>
      <c r="D72" s="112"/>
      <c r="E72" s="134"/>
      <c r="F72" s="134"/>
      <c r="G72" s="134"/>
      <c r="H72" s="111"/>
      <c r="I72" s="112"/>
      <c r="J72" s="112"/>
      <c r="K72" s="112"/>
      <c r="L72" s="112"/>
      <c r="M72" s="134"/>
      <c r="N72" s="11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2" t="s">
        <v>514</v>
      </c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2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2"/>
      <c r="B76" s="135"/>
      <c r="C76" s="136"/>
      <c r="D76" s="136"/>
      <c r="E76" s="135"/>
      <c r="F76" s="136"/>
      <c r="G76" s="135"/>
      <c r="H76" s="137"/>
      <c r="I76" s="136"/>
      <c r="J76" s="136"/>
      <c r="K76" s="136"/>
      <c r="L76" s="136"/>
      <c r="M76" s="135"/>
      <c r="N76" s="138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2"/>
      <c r="B77" s="135"/>
      <c r="C77" s="136"/>
      <c r="D77" s="136"/>
      <c r="E77" s="135"/>
      <c r="F77" s="136"/>
      <c r="G77" s="135"/>
      <c r="H77" s="137"/>
      <c r="I77" s="136"/>
      <c r="J77" s="136"/>
      <c r="K77" s="136"/>
      <c r="L77" s="136"/>
      <c r="M77" s="135"/>
      <c r="N77" s="138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123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44</v>
      </c>
      <c r="B79" s="56" t="s">
        <v>45</v>
      </c>
      <c r="C79" s="56" t="s">
        <v>46</v>
      </c>
      <c r="D79" s="56" t="s">
        <v>515</v>
      </c>
      <c r="E79" s="56" t="s">
        <v>48</v>
      </c>
      <c r="F79" s="56" t="s">
        <v>49</v>
      </c>
      <c r="G79" s="56" t="s">
        <v>50</v>
      </c>
      <c r="H79" s="57" t="s">
        <v>51</v>
      </c>
      <c r="I79" s="139" t="s">
        <v>53</v>
      </c>
      <c r="J79" s="139" t="s">
        <v>55</v>
      </c>
      <c r="K79" s="124" t="s">
        <v>125</v>
      </c>
      <c r="L79" s="125" t="s">
        <v>57</v>
      </c>
      <c r="M79" s="140" t="s">
        <v>116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92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93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6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64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6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64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6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64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7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71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87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91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91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92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3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64"/>
      <c r="B89" s="30"/>
      <c r="C89" s="30"/>
      <c r="D89" s="30"/>
      <c r="E89" s="30"/>
      <c r="F89" s="87"/>
      <c r="G89" s="87"/>
      <c r="H89" s="87"/>
      <c r="I89" s="34"/>
      <c r="J89" s="31"/>
      <c r="K89" s="31"/>
      <c r="L89" s="64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30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2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3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148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71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71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87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91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92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93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42"/>
      <c r="N98" s="143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42"/>
      <c r="N99" s="143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71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71"/>
      <c r="M100" s="142"/>
      <c r="N100" s="143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7.25" hidden="1" customHeight="1">
      <c r="A101" s="150" t="str">
        <f>MID(CELL("filename",$A$1),FIND("]",CELL("filename",$A$1))+1,100)&amp;" TOTAL"</f>
        <v>#VALUE!</v>
      </c>
      <c r="B101" s="151"/>
      <c r="C101" s="151"/>
      <c r="D101" s="151"/>
      <c r="E101" s="151"/>
      <c r="F101" s="97"/>
      <c r="G101" s="97"/>
      <c r="H101" s="97"/>
      <c r="I101" s="151"/>
      <c r="J101" s="152"/>
      <c r="K101" s="100">
        <f t="shared" ref="K101:L101" si="8">SUM(K80:K100)</f>
        <v>0</v>
      </c>
      <c r="L101" s="100">
        <f t="shared" si="8"/>
        <v>0</v>
      </c>
      <c r="M101" s="153"/>
      <c r="N101" s="15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70"/>
      <c r="I107" s="42"/>
      <c r="J107" s="42"/>
      <c r="K107" s="42"/>
      <c r="L107" s="42"/>
      <c r="M107" s="43"/>
      <c r="N107" s="44"/>
      <c r="O107" s="45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155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155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1"/>
      <c r="K111" s="42"/>
      <c r="L111" s="42"/>
      <c r="M111" s="43"/>
      <c r="N111" s="44"/>
      <c r="O111" s="45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1"/>
      <c r="K112" s="42"/>
      <c r="L112" s="42"/>
      <c r="M112" s="43"/>
      <c r="N112" s="44"/>
      <c r="O112" s="4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1"/>
      <c r="K113" s="42"/>
      <c r="L113" s="42"/>
      <c r="M113" s="43"/>
      <c r="N113" s="44"/>
      <c r="O113" s="4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3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1:N43"/>
    <mergeCell ref="N46:N48"/>
    <mergeCell ref="L64:L67"/>
    <mergeCell ref="D14:E14"/>
    <mergeCell ref="C19:C21"/>
    <mergeCell ref="D19:D21"/>
    <mergeCell ref="C27:C29"/>
    <mergeCell ref="A39:N39"/>
    <mergeCell ref="A41:A43"/>
    <mergeCell ref="A46:A48"/>
    <mergeCell ref="A49:A51"/>
    <mergeCell ref="N49:N51"/>
    <mergeCell ref="A59:A60"/>
    <mergeCell ref="B59:B60"/>
    <mergeCell ref="L59:L60"/>
    <mergeCell ref="A61:J61"/>
    <mergeCell ref="A68:J68"/>
    <mergeCell ref="A91:A94"/>
    <mergeCell ref="A96:A100"/>
    <mergeCell ref="A78:N78"/>
    <mergeCell ref="M79:N79"/>
    <mergeCell ref="A80:A85"/>
    <mergeCell ref="L80:L85"/>
    <mergeCell ref="A88:A90"/>
    <mergeCell ref="L88:L90"/>
    <mergeCell ref="L91:L94"/>
    <mergeCell ref="L96:L100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516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485</v>
      </c>
      <c r="B9" s="3"/>
      <c r="C9" s="31">
        <v>1.152071E7</v>
      </c>
      <c r="D9" s="47" t="s">
        <v>485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486</v>
      </c>
      <c r="B10" s="3"/>
      <c r="C10" s="31">
        <v>9877480.0</v>
      </c>
      <c r="D10" s="47" t="s">
        <v>486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487</v>
      </c>
      <c r="B11" s="3"/>
      <c r="C11" s="31">
        <v>9658610.0</v>
      </c>
      <c r="D11" s="47" t="s">
        <v>487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488</v>
      </c>
      <c r="B12" s="3"/>
      <c r="C12" s="31">
        <v>2492140.0</v>
      </c>
      <c r="D12" s="47" t="s">
        <v>488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19</v>
      </c>
      <c r="B13" s="3"/>
      <c r="C13" s="49">
        <v>3.354894E7</v>
      </c>
      <c r="D13" s="48" t="s">
        <v>19</v>
      </c>
      <c r="E13" s="3"/>
      <c r="F13" s="49">
        <v>5.132297E7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20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21</v>
      </c>
      <c r="B16" s="56" t="s">
        <v>517</v>
      </c>
      <c r="C16" s="56" t="s">
        <v>23</v>
      </c>
      <c r="D16" s="57" t="s">
        <v>24</v>
      </c>
      <c r="E16" s="56" t="s">
        <v>25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26</v>
      </c>
      <c r="B17" s="61">
        <f>SUMIF(F40:F49,"RED",M40:M49)</f>
        <v>1616400</v>
      </c>
      <c r="C17" s="61">
        <f>L58*C37</f>
        <v>0</v>
      </c>
      <c r="D17" s="61">
        <f>L65*D37</f>
        <v>0</v>
      </c>
      <c r="E17" s="61">
        <f>SUM(B17:D17)</f>
        <v>1616400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27</v>
      </c>
      <c r="B18" s="61">
        <f>SUMIF(F40:F49,"BLUE",M40:M49)</f>
        <v>875740</v>
      </c>
      <c r="C18" s="62"/>
      <c r="D18" s="62"/>
      <c r="E18" s="61">
        <f t="shared" ref="E18:E20" si="1">SUM(B18:C18)</f>
        <v>875740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28</v>
      </c>
      <c r="B19" s="61">
        <f>SUMIF(F40:F49,"OEM",M40:M49)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29</v>
      </c>
      <c r="B20" s="61">
        <f>SUMIF(F40:F49,"NO LOGO",M40:M49)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518</v>
      </c>
      <c r="B21" s="66">
        <f>SUM(B17:B20)</f>
        <v>2492140</v>
      </c>
      <c r="C21" s="66">
        <f t="shared" ref="C21:D21" si="2">C17</f>
        <v>0</v>
      </c>
      <c r="D21" s="66">
        <f t="shared" si="2"/>
        <v>0</v>
      </c>
      <c r="E21" s="66">
        <f>SUM(E17:E20)</f>
        <v>2492140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31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21</v>
      </c>
      <c r="B24" s="56" t="s">
        <v>519</v>
      </c>
      <c r="C24" s="56" t="s">
        <v>23</v>
      </c>
      <c r="D24" s="56" t="s">
        <v>25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SUMIFS(K70:K144,O70:O144,"&lt;&gt;"&amp;"CONVUM",O70:O144,"&lt;&gt;"&amp;"MYOTOKU CHINA",F70:F144,"RED")</f>
        <v>113800</v>
      </c>
      <c r="C25" s="61">
        <f>SUMIFS(K70:K144,O70:O144,"CONVUM",F70:F144,"RED")</f>
        <v>0</v>
      </c>
      <c r="D25" s="61">
        <f t="shared" ref="D25:D28" si="3">SUM(B25:C25)</f>
        <v>113800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SUMIFS(K70:K144,O70:O144,"&lt;&gt;"&amp;"CONVUM",O70:O144,"&lt;&gt;"&amp;"MYOTOKU CHINA",F70:F144,"BLUE")</f>
        <v>29173810</v>
      </c>
      <c r="C26" s="62"/>
      <c r="D26" s="61">
        <f t="shared" si="3"/>
        <v>29173810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28</v>
      </c>
      <c r="B27" s="61">
        <f>SUMIFS(K70:K144,O70:O144,"&lt;&gt;"&amp;"CONVUM",O70:O144,"&lt;&gt;"&amp;"MYOTOKU CHINA",F70:F144,"OEM")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29</v>
      </c>
      <c r="B28" s="61">
        <f>SUMIFS(K70:K144,O70:O144,"&lt;&gt;"&amp;"CONVUM",O70:O144,"&lt;&gt;"&amp;"MYOTOKU CHINA",F70:F144,"NO LOGO")</f>
        <v>0</v>
      </c>
      <c r="C28" s="71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520</v>
      </c>
      <c r="B29" s="66">
        <f>SUM(B25:B28)</f>
        <v>29287610</v>
      </c>
      <c r="C29" s="66">
        <f>C25</f>
        <v>0</v>
      </c>
      <c r="D29" s="66">
        <f>SUM(D25:D28)</f>
        <v>29287610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521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21</v>
      </c>
      <c r="B32" s="56" t="s">
        <v>522</v>
      </c>
      <c r="C32" s="56" t="s">
        <v>23</v>
      </c>
      <c r="D32" s="57" t="s">
        <v>24</v>
      </c>
      <c r="E32" s="56" t="s">
        <v>25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36</v>
      </c>
      <c r="B33" s="61">
        <v>6.182777E7</v>
      </c>
      <c r="C33" s="61">
        <f>3868500*C37</f>
        <v>36259063.65</v>
      </c>
      <c r="D33" s="61">
        <f>0*D37</f>
        <v>0</v>
      </c>
      <c r="E33" s="61">
        <f t="shared" ref="E33:E35" si="4">SUM(B33:D33)</f>
        <v>98086833.65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37</v>
      </c>
      <c r="B34" s="61">
        <v>0.0</v>
      </c>
      <c r="C34" s="61">
        <f>3760000*C37</f>
        <v>35242104</v>
      </c>
      <c r="D34" s="61">
        <f>0*D37</f>
        <v>0</v>
      </c>
      <c r="E34" s="61">
        <f t="shared" si="4"/>
        <v>35242104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38</v>
      </c>
      <c r="B35" s="61">
        <v>1.9756464E8</v>
      </c>
      <c r="C35" s="61">
        <f>6926500*C37</f>
        <v>64921391.85</v>
      </c>
      <c r="D35" s="61">
        <v>0.0</v>
      </c>
      <c r="E35" s="61">
        <f t="shared" si="4"/>
        <v>262486031.9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523</v>
      </c>
      <c r="B36" s="66">
        <f t="shared" ref="B36:E36" si="5">SUM(B33:B35)</f>
        <v>259392410</v>
      </c>
      <c r="C36" s="66">
        <f t="shared" si="5"/>
        <v>136422559.5</v>
      </c>
      <c r="D36" s="66">
        <f t="shared" si="5"/>
        <v>0</v>
      </c>
      <c r="E36" s="66">
        <f t="shared" si="5"/>
        <v>395814969.5</v>
      </c>
      <c r="F36" s="43"/>
      <c r="G36" s="58"/>
      <c r="H36" s="43"/>
      <c r="I36" s="44"/>
      <c r="J36" s="42"/>
      <c r="K36" s="75" t="s">
        <v>40</v>
      </c>
      <c r="L36" s="75" t="s">
        <v>41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42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43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44</v>
      </c>
      <c r="B39" s="82" t="s">
        <v>45</v>
      </c>
      <c r="C39" s="82" t="s">
        <v>46</v>
      </c>
      <c r="D39" s="82" t="s">
        <v>47</v>
      </c>
      <c r="E39" s="82" t="s">
        <v>48</v>
      </c>
      <c r="F39" s="82" t="s">
        <v>49</v>
      </c>
      <c r="G39" s="82" t="s">
        <v>50</v>
      </c>
      <c r="H39" s="83" t="s">
        <v>51</v>
      </c>
      <c r="I39" s="82" t="s">
        <v>52</v>
      </c>
      <c r="J39" s="84" t="s">
        <v>53</v>
      </c>
      <c r="K39" s="86" t="s">
        <v>524</v>
      </c>
      <c r="L39" s="85" t="s">
        <v>55</v>
      </c>
      <c r="M39" s="86" t="s">
        <v>56</v>
      </c>
      <c r="N39" s="86" t="s">
        <v>57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66</v>
      </c>
      <c r="B40" s="30" t="s">
        <v>417</v>
      </c>
      <c r="C40" s="30" t="s">
        <v>98</v>
      </c>
      <c r="D40" s="30" t="s">
        <v>61</v>
      </c>
      <c r="E40" s="30" t="s">
        <v>62</v>
      </c>
      <c r="F40" s="87" t="s">
        <v>71</v>
      </c>
      <c r="G40" s="87" t="s">
        <v>418</v>
      </c>
      <c r="H40" s="87" t="s">
        <v>419</v>
      </c>
      <c r="I40" s="30"/>
      <c r="J40" s="35">
        <v>1.0</v>
      </c>
      <c r="K40" s="89" t="s">
        <v>40</v>
      </c>
      <c r="L40" s="90">
        <v>135800.0</v>
      </c>
      <c r="M40" s="31">
        <v>135800.0</v>
      </c>
      <c r="N40" s="91">
        <f>SUM(M40)</f>
        <v>135800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2" t="s">
        <v>82</v>
      </c>
      <c r="B41" s="30" t="s">
        <v>139</v>
      </c>
      <c r="C41" s="30" t="s">
        <v>140</v>
      </c>
      <c r="D41" s="30" t="s">
        <v>105</v>
      </c>
      <c r="E41" s="30" t="s">
        <v>70</v>
      </c>
      <c r="F41" s="87" t="s">
        <v>71</v>
      </c>
      <c r="G41" s="87" t="s">
        <v>270</v>
      </c>
      <c r="H41" s="87" t="s">
        <v>271</v>
      </c>
      <c r="I41" s="30"/>
      <c r="J41" s="35">
        <v>1.0</v>
      </c>
      <c r="K41" s="89" t="s">
        <v>40</v>
      </c>
      <c r="L41" s="90">
        <v>32700.0</v>
      </c>
      <c r="M41" s="31">
        <v>32700.0</v>
      </c>
      <c r="N41" s="93">
        <f>SUM(M41:M44)</f>
        <v>1568340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139</v>
      </c>
      <c r="C42" s="30" t="s">
        <v>140</v>
      </c>
      <c r="D42" s="30" t="s">
        <v>105</v>
      </c>
      <c r="E42" s="30" t="s">
        <v>70</v>
      </c>
      <c r="F42" s="87" t="s">
        <v>71</v>
      </c>
      <c r="G42" s="87" t="s">
        <v>525</v>
      </c>
      <c r="H42" s="87" t="s">
        <v>526</v>
      </c>
      <c r="I42" s="30"/>
      <c r="J42" s="35">
        <v>5.0</v>
      </c>
      <c r="K42" s="89" t="s">
        <v>40</v>
      </c>
      <c r="L42" s="90">
        <v>240600.0</v>
      </c>
      <c r="M42" s="31">
        <v>1203000.0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83</v>
      </c>
      <c r="C43" s="30" t="s">
        <v>84</v>
      </c>
      <c r="D43" s="30" t="s">
        <v>85</v>
      </c>
      <c r="E43" s="30" t="s">
        <v>185</v>
      </c>
      <c r="F43" s="87" t="s">
        <v>63</v>
      </c>
      <c r="G43" s="87" t="s">
        <v>420</v>
      </c>
      <c r="H43" s="87" t="s">
        <v>421</v>
      </c>
      <c r="I43" s="30"/>
      <c r="J43" s="35">
        <v>2.0</v>
      </c>
      <c r="K43" s="89" t="s">
        <v>40</v>
      </c>
      <c r="L43" s="90">
        <v>65120.0</v>
      </c>
      <c r="M43" s="31">
        <v>130240.0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83</v>
      </c>
      <c r="C44" s="30" t="s">
        <v>84</v>
      </c>
      <c r="D44" s="30" t="s">
        <v>85</v>
      </c>
      <c r="E44" s="30" t="s">
        <v>62</v>
      </c>
      <c r="F44" s="87" t="s">
        <v>71</v>
      </c>
      <c r="G44" s="87" t="s">
        <v>422</v>
      </c>
      <c r="H44" s="87" t="s">
        <v>423</v>
      </c>
      <c r="I44" s="30"/>
      <c r="J44" s="35">
        <v>4.0</v>
      </c>
      <c r="K44" s="89" t="s">
        <v>40</v>
      </c>
      <c r="L44" s="90">
        <v>50600.0</v>
      </c>
      <c r="M44" s="31">
        <v>202400.0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287</v>
      </c>
      <c r="B45" s="30" t="s">
        <v>424</v>
      </c>
      <c r="C45" s="30" t="s">
        <v>333</v>
      </c>
      <c r="D45" s="30" t="s">
        <v>61</v>
      </c>
      <c r="E45" s="30" t="s">
        <v>62</v>
      </c>
      <c r="F45" s="87" t="s">
        <v>63</v>
      </c>
      <c r="G45" s="87" t="s">
        <v>425</v>
      </c>
      <c r="H45" s="87" t="s">
        <v>426</v>
      </c>
      <c r="I45" s="30"/>
      <c r="J45" s="35">
        <v>5.0</v>
      </c>
      <c r="K45" s="89" t="s">
        <v>40</v>
      </c>
      <c r="L45" s="90">
        <v>45100.0</v>
      </c>
      <c r="M45" s="31">
        <v>225500.0</v>
      </c>
      <c r="N45" s="91">
        <f t="shared" ref="N45:N46" si="6">SUM(M45)</f>
        <v>225500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153</v>
      </c>
      <c r="B46" s="30" t="s">
        <v>302</v>
      </c>
      <c r="C46" s="30" t="s">
        <v>303</v>
      </c>
      <c r="D46" s="30" t="s">
        <v>148</v>
      </c>
      <c r="E46" s="30" t="s">
        <v>106</v>
      </c>
      <c r="F46" s="87" t="s">
        <v>71</v>
      </c>
      <c r="G46" s="87" t="s">
        <v>304</v>
      </c>
      <c r="H46" s="87" t="s">
        <v>305</v>
      </c>
      <c r="I46" s="30"/>
      <c r="J46" s="35">
        <v>1.0</v>
      </c>
      <c r="K46" s="89" t="s">
        <v>40</v>
      </c>
      <c r="L46" s="90">
        <v>42500.0</v>
      </c>
      <c r="M46" s="31">
        <v>42500.0</v>
      </c>
      <c r="N46" s="91">
        <f t="shared" si="6"/>
        <v>42500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2" t="s">
        <v>99</v>
      </c>
      <c r="B47" s="30" t="s">
        <v>100</v>
      </c>
      <c r="C47" s="30" t="s">
        <v>101</v>
      </c>
      <c r="D47" s="30" t="s">
        <v>61</v>
      </c>
      <c r="E47" s="30" t="s">
        <v>62</v>
      </c>
      <c r="F47" s="87" t="s">
        <v>63</v>
      </c>
      <c r="G47" s="87" t="s">
        <v>527</v>
      </c>
      <c r="H47" s="87" t="s">
        <v>528</v>
      </c>
      <c r="I47" s="30"/>
      <c r="J47" s="35">
        <v>4.0</v>
      </c>
      <c r="K47" s="89" t="s">
        <v>40</v>
      </c>
      <c r="L47" s="90">
        <v>6350.0</v>
      </c>
      <c r="M47" s="31">
        <v>25400.0</v>
      </c>
      <c r="N47" s="93">
        <f>SUM(M47:M48)</f>
        <v>392000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322</v>
      </c>
      <c r="C48" s="30" t="s">
        <v>84</v>
      </c>
      <c r="D48" s="30" t="s">
        <v>85</v>
      </c>
      <c r="E48" s="30" t="s">
        <v>62</v>
      </c>
      <c r="F48" s="87" t="s">
        <v>63</v>
      </c>
      <c r="G48" s="87" t="s">
        <v>348</v>
      </c>
      <c r="H48" s="87" t="s">
        <v>349</v>
      </c>
      <c r="I48" s="30"/>
      <c r="J48" s="35">
        <v>260.0</v>
      </c>
      <c r="K48" s="89" t="s">
        <v>41</v>
      </c>
      <c r="L48" s="90">
        <v>1410.0</v>
      </c>
      <c r="M48" s="31">
        <v>366600.0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175</v>
      </c>
      <c r="B49" s="30" t="s">
        <v>176</v>
      </c>
      <c r="C49" s="30" t="s">
        <v>177</v>
      </c>
      <c r="D49" s="30" t="s">
        <v>148</v>
      </c>
      <c r="E49" s="30" t="s">
        <v>62</v>
      </c>
      <c r="F49" s="87" t="s">
        <v>63</v>
      </c>
      <c r="G49" s="87" t="s">
        <v>477</v>
      </c>
      <c r="H49" s="87" t="s">
        <v>478</v>
      </c>
      <c r="I49" s="30"/>
      <c r="J49" s="35">
        <v>16.0</v>
      </c>
      <c r="K49" s="89" t="s">
        <v>40</v>
      </c>
      <c r="L49" s="90">
        <v>8000.0</v>
      </c>
      <c r="M49" s="31">
        <v>128000.0</v>
      </c>
      <c r="N49" s="91">
        <f>SUM(M49)</f>
        <v>128000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0" customHeight="1">
      <c r="A50" s="95" t="str">
        <f>MID(CELL("filename",$A$1),FIND("]",CELL("filename",$A$1))+1,100)&amp;" TOTAL"</f>
        <v>#VALUE!</v>
      </c>
      <c r="B50" s="96"/>
      <c r="C50" s="96"/>
      <c r="D50" s="96"/>
      <c r="E50" s="96"/>
      <c r="F50" s="96"/>
      <c r="G50" s="97"/>
      <c r="H50" s="97"/>
      <c r="I50" s="96"/>
      <c r="J50" s="96"/>
      <c r="K50" s="98"/>
      <c r="L50" s="99"/>
      <c r="M50" s="66">
        <f t="shared" ref="M50:N50" si="7">SUM(M40:M49)</f>
        <v>2492140</v>
      </c>
      <c r="N50" s="100">
        <f t="shared" si="7"/>
        <v>2492140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101"/>
      <c r="B51" s="102"/>
      <c r="C51" s="102"/>
      <c r="D51" s="102"/>
      <c r="E51" s="102"/>
      <c r="F51" s="102"/>
      <c r="G51" s="102"/>
      <c r="H51" s="103"/>
      <c r="I51" s="102"/>
      <c r="J51" s="102"/>
      <c r="K51" s="102"/>
      <c r="L51" s="104"/>
      <c r="M51" s="105"/>
      <c r="N51" s="104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0.25" customHeight="1">
      <c r="A52" s="101" t="s">
        <v>109</v>
      </c>
      <c r="B52" s="106"/>
      <c r="C52" s="107"/>
      <c r="D52" s="107"/>
      <c r="E52" s="107"/>
      <c r="F52" s="107"/>
      <c r="G52" s="107"/>
      <c r="H52" s="108"/>
      <c r="I52" s="107"/>
      <c r="J52" s="107"/>
      <c r="K52" s="43"/>
      <c r="L52" s="109"/>
      <c r="M52" s="43"/>
      <c r="N52" s="109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01"/>
      <c r="B53" s="106"/>
      <c r="C53" s="107"/>
      <c r="D53" s="107"/>
      <c r="E53" s="107"/>
      <c r="F53" s="107"/>
      <c r="G53" s="107"/>
      <c r="H53" s="108"/>
      <c r="I53" s="107"/>
      <c r="J53" s="107"/>
      <c r="K53" s="43"/>
      <c r="L53" s="109"/>
      <c r="M53" s="43"/>
      <c r="N53" s="109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10" t="s">
        <v>110</v>
      </c>
      <c r="B54" s="67"/>
      <c r="C54" s="67"/>
      <c r="D54" s="101"/>
      <c r="E54" s="67"/>
      <c r="F54" s="67"/>
      <c r="G54" s="67"/>
      <c r="H54" s="111"/>
      <c r="I54" s="112"/>
      <c r="J54" s="112"/>
      <c r="K54" s="112"/>
      <c r="L54" s="112"/>
      <c r="M54" s="68"/>
      <c r="N54" s="113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44</v>
      </c>
      <c r="B55" s="57" t="s">
        <v>45</v>
      </c>
      <c r="C55" s="57" t="s">
        <v>46</v>
      </c>
      <c r="D55" s="57" t="s">
        <v>529</v>
      </c>
      <c r="E55" s="57" t="s">
        <v>48</v>
      </c>
      <c r="F55" s="57" t="s">
        <v>112</v>
      </c>
      <c r="G55" s="57" t="s">
        <v>50</v>
      </c>
      <c r="H55" s="57" t="s">
        <v>51</v>
      </c>
      <c r="I55" s="57" t="s">
        <v>53</v>
      </c>
      <c r="J55" s="57" t="s">
        <v>113</v>
      </c>
      <c r="K55" s="57" t="s">
        <v>114</v>
      </c>
      <c r="L55" s="114" t="s">
        <v>115</v>
      </c>
      <c r="M55" s="114" t="s">
        <v>116</v>
      </c>
      <c r="N55" s="58"/>
      <c r="O55" s="115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6.5" hidden="1" customHeight="1">
      <c r="A56" s="92"/>
      <c r="B56" s="117"/>
      <c r="C56" s="88"/>
      <c r="D56" s="30"/>
      <c r="E56" s="30"/>
      <c r="F56" s="87"/>
      <c r="G56" s="87"/>
      <c r="H56" s="87"/>
      <c r="I56" s="34"/>
      <c r="J56" s="118"/>
      <c r="K56" s="118"/>
      <c r="L56" s="119"/>
      <c r="M56" s="120"/>
      <c r="N56" s="44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71"/>
      <c r="B57" s="71"/>
      <c r="C57" s="88"/>
      <c r="D57" s="30"/>
      <c r="E57" s="30"/>
      <c r="F57" s="87"/>
      <c r="G57" s="87"/>
      <c r="H57" s="87"/>
      <c r="I57" s="31"/>
      <c r="J57" s="118"/>
      <c r="K57" s="118"/>
      <c r="L57" s="64"/>
      <c r="M57" s="120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121" t="str">
        <f>A50</f>
        <v>#VALUE!</v>
      </c>
      <c r="B58" s="2"/>
      <c r="C58" s="2"/>
      <c r="D58" s="2"/>
      <c r="E58" s="2"/>
      <c r="F58" s="2"/>
      <c r="G58" s="2"/>
      <c r="H58" s="2"/>
      <c r="I58" s="2"/>
      <c r="J58" s="3"/>
      <c r="K58" s="122">
        <f>SUM(K56:K57)</f>
        <v>0</v>
      </c>
      <c r="L58" s="123">
        <f>SUM(L56)</f>
        <v>0</v>
      </c>
      <c r="M58" s="56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01"/>
      <c r="B59" s="67"/>
      <c r="C59" s="67"/>
      <c r="D59" s="101"/>
      <c r="E59" s="67"/>
      <c r="F59" s="67"/>
      <c r="G59" s="67"/>
      <c r="H59" s="111"/>
      <c r="I59" s="112"/>
      <c r="J59" s="112"/>
      <c r="K59" s="112"/>
      <c r="L59" s="112"/>
      <c r="M59" s="68"/>
      <c r="N59" s="113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57" t="s">
        <v>44</v>
      </c>
      <c r="B60" s="57" t="s">
        <v>45</v>
      </c>
      <c r="C60" s="57" t="s">
        <v>46</v>
      </c>
      <c r="D60" s="57" t="s">
        <v>530</v>
      </c>
      <c r="E60" s="57" t="s">
        <v>48</v>
      </c>
      <c r="F60" s="57" t="s">
        <v>118</v>
      </c>
      <c r="G60" s="57" t="s">
        <v>50</v>
      </c>
      <c r="H60" s="57" t="s">
        <v>51</v>
      </c>
      <c r="I60" s="114" t="s">
        <v>53</v>
      </c>
      <c r="J60" s="114" t="s">
        <v>119</v>
      </c>
      <c r="K60" s="124" t="s">
        <v>120</v>
      </c>
      <c r="L60" s="125" t="s">
        <v>121</v>
      </c>
      <c r="M60" s="124" t="s">
        <v>116</v>
      </c>
      <c r="N60" s="58"/>
      <c r="O60" s="115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6.5" hidden="1" customHeight="1">
      <c r="A61" s="92"/>
      <c r="B61" s="156"/>
      <c r="C61" s="157"/>
      <c r="D61" s="158"/>
      <c r="E61" s="30"/>
      <c r="F61" s="87"/>
      <c r="G61" s="159"/>
      <c r="H61" s="159"/>
      <c r="I61" s="160"/>
      <c r="J61" s="161"/>
      <c r="K61" s="162"/>
      <c r="L61" s="163"/>
      <c r="M61" s="164"/>
      <c r="N61" s="58"/>
      <c r="O61" s="115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6.5" hidden="1" customHeight="1">
      <c r="A62" s="145"/>
      <c r="B62" s="165"/>
      <c r="C62" s="157"/>
      <c r="D62" s="158"/>
      <c r="E62" s="30"/>
      <c r="F62" s="87"/>
      <c r="G62" s="166"/>
      <c r="H62" s="167"/>
      <c r="I62" s="161"/>
      <c r="J62" s="161"/>
      <c r="K62" s="161"/>
      <c r="L62" s="168"/>
      <c r="M62" s="164"/>
      <c r="N62" s="58"/>
      <c r="O62" s="115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6.5" hidden="1" customHeight="1">
      <c r="A63" s="145"/>
      <c r="B63" s="165"/>
      <c r="C63" s="157"/>
      <c r="D63" s="158"/>
      <c r="E63" s="30"/>
      <c r="F63" s="87"/>
      <c r="G63" s="166"/>
      <c r="H63" s="167"/>
      <c r="I63" s="161"/>
      <c r="J63" s="161"/>
      <c r="K63" s="161"/>
      <c r="L63" s="168"/>
      <c r="M63" s="164"/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146"/>
      <c r="B64" s="169"/>
      <c r="C64" s="157"/>
      <c r="D64" s="158"/>
      <c r="E64" s="30"/>
      <c r="F64" s="87"/>
      <c r="G64" s="166"/>
      <c r="H64" s="167"/>
      <c r="I64" s="161"/>
      <c r="J64" s="161"/>
      <c r="K64" s="161"/>
      <c r="L64" s="170"/>
      <c r="M64" s="164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29" t="str">
        <f>A50</f>
        <v>#VALUE!</v>
      </c>
      <c r="B65" s="80"/>
      <c r="C65" s="80"/>
      <c r="D65" s="80"/>
      <c r="E65" s="80"/>
      <c r="F65" s="80"/>
      <c r="G65" s="80"/>
      <c r="H65" s="80"/>
      <c r="I65" s="80"/>
      <c r="J65" s="130"/>
      <c r="K65" s="131">
        <f>SUM(K61:K64)</f>
        <v>0</v>
      </c>
      <c r="L65" s="131">
        <f>SUM(L61)</f>
        <v>0</v>
      </c>
      <c r="M65" s="132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hidden="1" customHeight="1">
      <c r="A66" s="133"/>
      <c r="B66" s="134"/>
      <c r="C66" s="112"/>
      <c r="D66" s="112"/>
      <c r="E66" s="134"/>
      <c r="F66" s="134"/>
      <c r="G66" s="134"/>
      <c r="H66" s="111"/>
      <c r="I66" s="112"/>
      <c r="J66" s="112"/>
      <c r="K66" s="112"/>
      <c r="L66" s="112"/>
      <c r="M66" s="134"/>
      <c r="N66" s="113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0.75" hidden="1" customHeight="1">
      <c r="A67" s="133"/>
      <c r="B67" s="134"/>
      <c r="C67" s="112"/>
      <c r="D67" s="112"/>
      <c r="E67" s="134"/>
      <c r="F67" s="134"/>
      <c r="G67" s="134"/>
      <c r="H67" s="111"/>
      <c r="I67" s="112"/>
      <c r="J67" s="112"/>
      <c r="K67" s="112"/>
      <c r="L67" s="112"/>
      <c r="M67" s="134"/>
      <c r="N67" s="113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hidden="1" customHeight="1">
      <c r="A68" s="133"/>
      <c r="B68" s="134"/>
      <c r="C68" s="112"/>
      <c r="D68" s="112"/>
      <c r="E68" s="134"/>
      <c r="F68" s="134"/>
      <c r="G68" s="134"/>
      <c r="H68" s="111"/>
      <c r="I68" s="112"/>
      <c r="J68" s="112"/>
      <c r="K68" s="112"/>
      <c r="L68" s="112"/>
      <c r="M68" s="134"/>
      <c r="N68" s="11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33"/>
      <c r="B69" s="134"/>
      <c r="C69" s="112"/>
      <c r="D69" s="112"/>
      <c r="E69" s="134"/>
      <c r="F69" s="134"/>
      <c r="G69" s="134"/>
      <c r="H69" s="111"/>
      <c r="I69" s="112"/>
      <c r="J69" s="112"/>
      <c r="K69" s="112"/>
      <c r="L69" s="112"/>
      <c r="M69" s="134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hidden="1" customHeight="1">
      <c r="A70" s="112" t="s">
        <v>531</v>
      </c>
      <c r="B70" s="135"/>
      <c r="C70" s="136"/>
      <c r="D70" s="136"/>
      <c r="E70" s="135"/>
      <c r="F70" s="136"/>
      <c r="G70" s="135"/>
      <c r="H70" s="137"/>
      <c r="I70" s="136"/>
      <c r="J70" s="136"/>
      <c r="K70" s="136"/>
      <c r="L70" s="136"/>
      <c r="M70" s="135"/>
      <c r="N70" s="138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2"/>
      <c r="B71" s="135"/>
      <c r="C71" s="136"/>
      <c r="D71" s="136"/>
      <c r="E71" s="135"/>
      <c r="F71" s="136"/>
      <c r="G71" s="135"/>
      <c r="H71" s="137"/>
      <c r="I71" s="136"/>
      <c r="J71" s="136"/>
      <c r="K71" s="136"/>
      <c r="L71" s="136"/>
      <c r="M71" s="135"/>
      <c r="N71" s="138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2"/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2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customHeight="1">
      <c r="A74" s="112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79" t="s">
        <v>123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1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56" t="s">
        <v>44</v>
      </c>
      <c r="B76" s="56" t="s">
        <v>45</v>
      </c>
      <c r="C76" s="56" t="s">
        <v>46</v>
      </c>
      <c r="D76" s="56" t="s">
        <v>532</v>
      </c>
      <c r="E76" s="56" t="s">
        <v>48</v>
      </c>
      <c r="F76" s="56" t="s">
        <v>49</v>
      </c>
      <c r="G76" s="56" t="s">
        <v>50</v>
      </c>
      <c r="H76" s="57" t="s">
        <v>51</v>
      </c>
      <c r="I76" s="139" t="s">
        <v>53</v>
      </c>
      <c r="J76" s="139" t="s">
        <v>55</v>
      </c>
      <c r="K76" s="124" t="s">
        <v>125</v>
      </c>
      <c r="L76" s="125" t="s">
        <v>57</v>
      </c>
      <c r="M76" s="140" t="s">
        <v>116</v>
      </c>
      <c r="N76" s="3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92" t="s">
        <v>82</v>
      </c>
      <c r="B77" s="30" t="s">
        <v>139</v>
      </c>
      <c r="C77" s="30" t="s">
        <v>140</v>
      </c>
      <c r="D77" s="30" t="s">
        <v>105</v>
      </c>
      <c r="E77" s="30" t="s">
        <v>62</v>
      </c>
      <c r="F77" s="87" t="s">
        <v>63</v>
      </c>
      <c r="G77" s="87" t="s">
        <v>348</v>
      </c>
      <c r="H77" s="87" t="s">
        <v>349</v>
      </c>
      <c r="I77" s="34">
        <v>1.0</v>
      </c>
      <c r="J77" s="31">
        <v>1910.0</v>
      </c>
      <c r="K77" s="31">
        <v>1910.0</v>
      </c>
      <c r="L77" s="93">
        <f>SUM(K77:K82)</f>
        <v>16130</v>
      </c>
      <c r="M77" s="142"/>
      <c r="N77" s="143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64"/>
      <c r="B78" s="30" t="s">
        <v>139</v>
      </c>
      <c r="C78" s="30" t="s">
        <v>140</v>
      </c>
      <c r="D78" s="30" t="s">
        <v>105</v>
      </c>
      <c r="E78" s="30" t="s">
        <v>106</v>
      </c>
      <c r="F78" s="87" t="s">
        <v>63</v>
      </c>
      <c r="G78" s="87" t="s">
        <v>350</v>
      </c>
      <c r="H78" s="87" t="s">
        <v>351</v>
      </c>
      <c r="I78" s="34">
        <v>1.0</v>
      </c>
      <c r="J78" s="31">
        <v>1910.0</v>
      </c>
      <c r="K78" s="31">
        <v>1910.0</v>
      </c>
      <c r="L78" s="64"/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64"/>
      <c r="B79" s="30" t="s">
        <v>139</v>
      </c>
      <c r="C79" s="30" t="s">
        <v>140</v>
      </c>
      <c r="D79" s="30" t="s">
        <v>105</v>
      </c>
      <c r="E79" s="30" t="s">
        <v>62</v>
      </c>
      <c r="F79" s="87" t="s">
        <v>63</v>
      </c>
      <c r="G79" s="87" t="s">
        <v>533</v>
      </c>
      <c r="H79" s="87" t="s">
        <v>534</v>
      </c>
      <c r="I79" s="34">
        <v>1.0</v>
      </c>
      <c r="J79" s="31">
        <v>4510.0</v>
      </c>
      <c r="K79" s="31">
        <v>4510.0</v>
      </c>
      <c r="L79" s="64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139</v>
      </c>
      <c r="C80" s="30" t="s">
        <v>140</v>
      </c>
      <c r="D80" s="30" t="s">
        <v>105</v>
      </c>
      <c r="E80" s="30" t="s">
        <v>62</v>
      </c>
      <c r="F80" s="87" t="s">
        <v>63</v>
      </c>
      <c r="G80" s="87" t="s">
        <v>313</v>
      </c>
      <c r="H80" s="87" t="s">
        <v>314</v>
      </c>
      <c r="I80" s="34">
        <v>1.0</v>
      </c>
      <c r="J80" s="31">
        <v>1910.0</v>
      </c>
      <c r="K80" s="31">
        <v>1910.0</v>
      </c>
      <c r="L80" s="6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139</v>
      </c>
      <c r="C81" s="30" t="s">
        <v>140</v>
      </c>
      <c r="D81" s="30" t="s">
        <v>105</v>
      </c>
      <c r="E81" s="30" t="s">
        <v>62</v>
      </c>
      <c r="F81" s="87" t="s">
        <v>63</v>
      </c>
      <c r="G81" s="87" t="s">
        <v>535</v>
      </c>
      <c r="H81" s="87" t="s">
        <v>536</v>
      </c>
      <c r="I81" s="34">
        <v>1.0</v>
      </c>
      <c r="J81" s="31">
        <v>2740.0</v>
      </c>
      <c r="K81" s="31">
        <v>2740.0</v>
      </c>
      <c r="L81" s="6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71"/>
      <c r="B82" s="30" t="s">
        <v>139</v>
      </c>
      <c r="C82" s="30" t="s">
        <v>140</v>
      </c>
      <c r="D82" s="30" t="s">
        <v>105</v>
      </c>
      <c r="E82" s="30" t="s">
        <v>62</v>
      </c>
      <c r="F82" s="87" t="s">
        <v>63</v>
      </c>
      <c r="G82" s="87" t="s">
        <v>346</v>
      </c>
      <c r="H82" s="87" t="s">
        <v>347</v>
      </c>
      <c r="I82" s="34">
        <v>1.0</v>
      </c>
      <c r="J82" s="31">
        <v>3150.0</v>
      </c>
      <c r="K82" s="31">
        <v>3150.0</v>
      </c>
      <c r="L82" s="71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537</v>
      </c>
      <c r="B83" s="30" t="s">
        <v>538</v>
      </c>
      <c r="C83" s="30" t="s">
        <v>98</v>
      </c>
      <c r="D83" s="30" t="s">
        <v>148</v>
      </c>
      <c r="E83" s="30" t="s">
        <v>62</v>
      </c>
      <c r="F83" s="87" t="s">
        <v>63</v>
      </c>
      <c r="G83" s="87" t="s">
        <v>477</v>
      </c>
      <c r="H83" s="87" t="s">
        <v>478</v>
      </c>
      <c r="I83" s="34">
        <v>64.0</v>
      </c>
      <c r="J83" s="31">
        <v>8000.0</v>
      </c>
      <c r="K83" s="31">
        <v>512000.0</v>
      </c>
      <c r="L83" s="91">
        <f t="shared" ref="L83:L84" si="8">SUM(K83)</f>
        <v>512000</v>
      </c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92</v>
      </c>
      <c r="B84" s="30" t="s">
        <v>539</v>
      </c>
      <c r="C84" s="30" t="s">
        <v>67</v>
      </c>
      <c r="D84" s="30" t="s">
        <v>61</v>
      </c>
      <c r="E84" s="30" t="s">
        <v>185</v>
      </c>
      <c r="F84" s="87" t="s">
        <v>63</v>
      </c>
      <c r="G84" s="87" t="s">
        <v>540</v>
      </c>
      <c r="H84" s="87" t="s">
        <v>541</v>
      </c>
      <c r="I84" s="34">
        <v>30.0</v>
      </c>
      <c r="J84" s="31">
        <v>790000.0</v>
      </c>
      <c r="K84" s="31">
        <v>2.37E7</v>
      </c>
      <c r="L84" s="91">
        <f t="shared" si="8"/>
        <v>23700000</v>
      </c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92" t="s">
        <v>96</v>
      </c>
      <c r="B85" s="30" t="s">
        <v>211</v>
      </c>
      <c r="C85" s="30" t="s">
        <v>189</v>
      </c>
      <c r="D85" s="30" t="s">
        <v>105</v>
      </c>
      <c r="E85" s="30" t="s">
        <v>62</v>
      </c>
      <c r="F85" s="87" t="s">
        <v>63</v>
      </c>
      <c r="G85" s="87" t="s">
        <v>318</v>
      </c>
      <c r="H85" s="87" t="s">
        <v>319</v>
      </c>
      <c r="I85" s="34">
        <v>12.0</v>
      </c>
      <c r="J85" s="31">
        <v>4500.0</v>
      </c>
      <c r="K85" s="31">
        <v>54000.0</v>
      </c>
      <c r="L85" s="93">
        <f>SUM(K85:K87)</f>
        <v>187100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211</v>
      </c>
      <c r="C86" s="30" t="s">
        <v>189</v>
      </c>
      <c r="D86" s="30" t="s">
        <v>105</v>
      </c>
      <c r="E86" s="30" t="s">
        <v>185</v>
      </c>
      <c r="F86" s="87" t="s">
        <v>63</v>
      </c>
      <c r="G86" s="87" t="s">
        <v>212</v>
      </c>
      <c r="H86" s="87" t="s">
        <v>213</v>
      </c>
      <c r="I86" s="34">
        <v>10.0</v>
      </c>
      <c r="J86" s="31">
        <v>12210.0</v>
      </c>
      <c r="K86" s="31">
        <v>122100.0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71"/>
      <c r="B87" s="30" t="s">
        <v>211</v>
      </c>
      <c r="C87" s="30" t="s">
        <v>189</v>
      </c>
      <c r="D87" s="30" t="s">
        <v>105</v>
      </c>
      <c r="E87" s="30" t="s">
        <v>62</v>
      </c>
      <c r="F87" s="87" t="s">
        <v>63</v>
      </c>
      <c r="G87" s="87" t="s">
        <v>320</v>
      </c>
      <c r="H87" s="87" t="s">
        <v>321</v>
      </c>
      <c r="I87" s="34">
        <v>10.0</v>
      </c>
      <c r="J87" s="31">
        <v>1100.0</v>
      </c>
      <c r="K87" s="31">
        <v>11000.0</v>
      </c>
      <c r="L87" s="71"/>
      <c r="M87" s="142"/>
      <c r="N87" s="143"/>
      <c r="O87" s="45"/>
      <c r="P87" s="46"/>
      <c r="Q87" s="46"/>
      <c r="R87" s="46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92" t="s">
        <v>99</v>
      </c>
      <c r="B88" s="30" t="s">
        <v>474</v>
      </c>
      <c r="C88" s="30" t="s">
        <v>67</v>
      </c>
      <c r="D88" s="30" t="s">
        <v>61</v>
      </c>
      <c r="E88" s="30" t="s">
        <v>62</v>
      </c>
      <c r="F88" s="87" t="s">
        <v>63</v>
      </c>
      <c r="G88" s="87" t="s">
        <v>542</v>
      </c>
      <c r="H88" s="87" t="s">
        <v>543</v>
      </c>
      <c r="I88" s="34">
        <v>2.0</v>
      </c>
      <c r="J88" s="31">
        <v>3250.0</v>
      </c>
      <c r="K88" s="31">
        <v>6500.0</v>
      </c>
      <c r="L88" s="93">
        <f>SUM(K88:K91)</f>
        <v>3165100</v>
      </c>
      <c r="M88" s="142"/>
      <c r="N88" s="143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64"/>
      <c r="B89" s="148" t="s">
        <v>368</v>
      </c>
      <c r="C89" s="30" t="s">
        <v>369</v>
      </c>
      <c r="D89" s="30" t="s">
        <v>61</v>
      </c>
      <c r="E89" s="30" t="s">
        <v>62</v>
      </c>
      <c r="F89" s="87" t="s">
        <v>63</v>
      </c>
      <c r="G89" s="87" t="s">
        <v>544</v>
      </c>
      <c r="H89" s="87" t="s">
        <v>545</v>
      </c>
      <c r="I89" s="34">
        <v>106.0</v>
      </c>
      <c r="J89" s="31">
        <v>26100.0</v>
      </c>
      <c r="K89" s="31">
        <v>2766600.0</v>
      </c>
      <c r="L89" s="64"/>
      <c r="M89" s="142"/>
      <c r="N89" s="143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64"/>
      <c r="B90" s="30" t="s">
        <v>100</v>
      </c>
      <c r="C90" s="30" t="s">
        <v>101</v>
      </c>
      <c r="D90" s="30" t="s">
        <v>61</v>
      </c>
      <c r="E90" s="30" t="s">
        <v>62</v>
      </c>
      <c r="F90" s="87" t="s">
        <v>63</v>
      </c>
      <c r="G90" s="87" t="s">
        <v>527</v>
      </c>
      <c r="H90" s="87" t="s">
        <v>528</v>
      </c>
      <c r="I90" s="34">
        <v>4.0</v>
      </c>
      <c r="J90" s="31">
        <v>6350.0</v>
      </c>
      <c r="K90" s="31">
        <v>25400.0</v>
      </c>
      <c r="L90" s="64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71"/>
      <c r="B91" s="30" t="s">
        <v>322</v>
      </c>
      <c r="C91" s="30" t="s">
        <v>84</v>
      </c>
      <c r="D91" s="30" t="s">
        <v>85</v>
      </c>
      <c r="E91" s="30" t="s">
        <v>62</v>
      </c>
      <c r="F91" s="87" t="s">
        <v>63</v>
      </c>
      <c r="G91" s="87" t="s">
        <v>348</v>
      </c>
      <c r="H91" s="87" t="s">
        <v>349</v>
      </c>
      <c r="I91" s="34">
        <v>260.0</v>
      </c>
      <c r="J91" s="31">
        <v>1410.0</v>
      </c>
      <c r="K91" s="31">
        <v>366600.0</v>
      </c>
      <c r="L91" s="71"/>
      <c r="M91" s="142"/>
      <c r="N91" s="143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87" t="s">
        <v>175</v>
      </c>
      <c r="B92" s="30" t="s">
        <v>176</v>
      </c>
      <c r="C92" s="30" t="s">
        <v>177</v>
      </c>
      <c r="D92" s="30" t="s">
        <v>148</v>
      </c>
      <c r="E92" s="30" t="s">
        <v>185</v>
      </c>
      <c r="F92" s="87" t="s">
        <v>63</v>
      </c>
      <c r="G92" s="87" t="s">
        <v>546</v>
      </c>
      <c r="H92" s="87" t="s">
        <v>547</v>
      </c>
      <c r="I92" s="34">
        <v>140.0</v>
      </c>
      <c r="J92" s="31">
        <v>8420.0</v>
      </c>
      <c r="K92" s="31">
        <v>1178800.0</v>
      </c>
      <c r="L92" s="91">
        <f>SUM(K92)</f>
        <v>1178800</v>
      </c>
      <c r="M92" s="142"/>
      <c r="N92" s="143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92" t="s">
        <v>182</v>
      </c>
      <c r="B93" s="30" t="s">
        <v>183</v>
      </c>
      <c r="C93" s="30" t="s">
        <v>184</v>
      </c>
      <c r="D93" s="30" t="s">
        <v>61</v>
      </c>
      <c r="E93" s="30" t="s">
        <v>62</v>
      </c>
      <c r="F93" s="87" t="s">
        <v>63</v>
      </c>
      <c r="G93" s="87" t="s">
        <v>548</v>
      </c>
      <c r="H93" s="87" t="s">
        <v>549</v>
      </c>
      <c r="I93" s="34">
        <v>8.0</v>
      </c>
      <c r="J93" s="31">
        <v>2460.0</v>
      </c>
      <c r="K93" s="31">
        <v>19680.0</v>
      </c>
      <c r="L93" s="93">
        <f>SUM(K93:K97)</f>
        <v>528480</v>
      </c>
      <c r="M93" s="142"/>
      <c r="N93" s="143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64"/>
      <c r="B94" s="30" t="s">
        <v>550</v>
      </c>
      <c r="C94" s="30" t="s">
        <v>98</v>
      </c>
      <c r="D94" s="30" t="s">
        <v>85</v>
      </c>
      <c r="E94" s="30" t="s">
        <v>62</v>
      </c>
      <c r="F94" s="87" t="s">
        <v>71</v>
      </c>
      <c r="G94" s="87" t="s">
        <v>551</v>
      </c>
      <c r="H94" s="87" t="s">
        <v>552</v>
      </c>
      <c r="I94" s="34">
        <v>2.0</v>
      </c>
      <c r="J94" s="31">
        <v>56900.0</v>
      </c>
      <c r="K94" s="31">
        <v>113800.0</v>
      </c>
      <c r="L94" s="64"/>
      <c r="M94" s="142"/>
      <c r="N94" s="143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64"/>
      <c r="B95" s="30" t="s">
        <v>339</v>
      </c>
      <c r="C95" s="30" t="s">
        <v>340</v>
      </c>
      <c r="D95" s="30" t="s">
        <v>61</v>
      </c>
      <c r="E95" s="30" t="s">
        <v>62</v>
      </c>
      <c r="F95" s="87" t="s">
        <v>63</v>
      </c>
      <c r="G95" s="87" t="s">
        <v>553</v>
      </c>
      <c r="H95" s="87" t="s">
        <v>554</v>
      </c>
      <c r="I95" s="34">
        <v>40.0</v>
      </c>
      <c r="J95" s="31">
        <v>3500.0</v>
      </c>
      <c r="K95" s="31">
        <v>140000.0</v>
      </c>
      <c r="L95" s="64"/>
      <c r="M95" s="142"/>
      <c r="N95" s="143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64"/>
      <c r="B96" s="30" t="s">
        <v>339</v>
      </c>
      <c r="C96" s="30" t="s">
        <v>340</v>
      </c>
      <c r="D96" s="30" t="s">
        <v>61</v>
      </c>
      <c r="E96" s="30" t="s">
        <v>62</v>
      </c>
      <c r="F96" s="87" t="s">
        <v>63</v>
      </c>
      <c r="G96" s="87" t="s">
        <v>348</v>
      </c>
      <c r="H96" s="87" t="s">
        <v>349</v>
      </c>
      <c r="I96" s="34">
        <v>100.0</v>
      </c>
      <c r="J96" s="31">
        <v>1500.0</v>
      </c>
      <c r="K96" s="31">
        <v>150000.0</v>
      </c>
      <c r="L96" s="64"/>
      <c r="M96" s="142"/>
      <c r="N96" s="143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71"/>
      <c r="B97" s="30" t="s">
        <v>339</v>
      </c>
      <c r="C97" s="30" t="s">
        <v>340</v>
      </c>
      <c r="D97" s="30" t="s">
        <v>61</v>
      </c>
      <c r="E97" s="30" t="s">
        <v>62</v>
      </c>
      <c r="F97" s="87" t="s">
        <v>63</v>
      </c>
      <c r="G97" s="87" t="s">
        <v>307</v>
      </c>
      <c r="H97" s="87" t="s">
        <v>308</v>
      </c>
      <c r="I97" s="34">
        <v>70.0</v>
      </c>
      <c r="J97" s="31">
        <v>1500.0</v>
      </c>
      <c r="K97" s="31">
        <v>105000.0</v>
      </c>
      <c r="L97" s="71"/>
      <c r="M97" s="142"/>
      <c r="N97" s="143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7.25" customHeight="1">
      <c r="A98" s="150" t="str">
        <f>MID(CELL("filename",$A$1),FIND("]",CELL("filename",$A$1))+1,100)&amp;" TOTAL"</f>
        <v>#VALUE!</v>
      </c>
      <c r="B98" s="151"/>
      <c r="C98" s="151"/>
      <c r="D98" s="151"/>
      <c r="E98" s="151"/>
      <c r="F98" s="97"/>
      <c r="G98" s="97"/>
      <c r="H98" s="97"/>
      <c r="I98" s="151"/>
      <c r="J98" s="152"/>
      <c r="K98" s="100">
        <f t="shared" ref="K98:L98" si="9">SUM(K77:K97)</f>
        <v>29287610</v>
      </c>
      <c r="L98" s="100">
        <f t="shared" si="9"/>
        <v>29287610</v>
      </c>
      <c r="M98" s="153"/>
      <c r="N98" s="154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0"/>
      <c r="B99" s="40"/>
      <c r="C99" s="46"/>
      <c r="D99" s="46"/>
      <c r="E99" s="40"/>
      <c r="F99" s="40"/>
      <c r="G99" s="40"/>
      <c r="H99" s="55"/>
      <c r="I99" s="42"/>
      <c r="J99" s="42"/>
      <c r="K99" s="42"/>
      <c r="L99" s="42"/>
      <c r="M99" s="43"/>
      <c r="N99" s="44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2"/>
      <c r="K100" s="42"/>
      <c r="L100" s="42"/>
      <c r="M100" s="43"/>
      <c r="N100" s="44"/>
      <c r="O100" s="45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2"/>
      <c r="K101" s="42"/>
      <c r="L101" s="42"/>
      <c r="M101" s="43"/>
      <c r="N101" s="4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0"/>
      <c r="B104" s="40"/>
      <c r="C104" s="46"/>
      <c r="D104" s="46"/>
      <c r="E104" s="40"/>
      <c r="F104" s="40"/>
      <c r="G104" s="40"/>
      <c r="H104" s="70"/>
      <c r="I104" s="42"/>
      <c r="J104" s="42"/>
      <c r="K104" s="42"/>
      <c r="L104" s="42"/>
      <c r="M104" s="43"/>
      <c r="N104" s="44"/>
      <c r="O104" s="45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155"/>
      <c r="K105" s="42"/>
      <c r="L105" s="42"/>
      <c r="M105" s="43"/>
      <c r="N105" s="44"/>
      <c r="O105" s="45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155"/>
      <c r="K106" s="42"/>
      <c r="L106" s="42"/>
      <c r="M106" s="43"/>
      <c r="N106" s="44"/>
      <c r="O106" s="45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1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1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1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9">
    <mergeCell ref="A11:B11"/>
    <mergeCell ref="D11:E11"/>
    <mergeCell ref="A12:B12"/>
    <mergeCell ref="D12:E12"/>
    <mergeCell ref="A13:B13"/>
    <mergeCell ref="D13:E13"/>
    <mergeCell ref="A1:F1"/>
    <mergeCell ref="A2:E2"/>
    <mergeCell ref="A7:F7"/>
    <mergeCell ref="A8:C8"/>
    <mergeCell ref="D8:F8"/>
    <mergeCell ref="A9:B9"/>
    <mergeCell ref="A10:B10"/>
    <mergeCell ref="A41:A44"/>
    <mergeCell ref="A47:A48"/>
    <mergeCell ref="A56:A57"/>
    <mergeCell ref="B56:B57"/>
    <mergeCell ref="A77:A82"/>
    <mergeCell ref="A85:A87"/>
    <mergeCell ref="A88:A91"/>
    <mergeCell ref="A93:A97"/>
    <mergeCell ref="D9:E9"/>
    <mergeCell ref="D10:E10"/>
    <mergeCell ref="C18:C20"/>
    <mergeCell ref="D18:D20"/>
    <mergeCell ref="C26:C28"/>
    <mergeCell ref="A38:N38"/>
    <mergeCell ref="N41:N44"/>
    <mergeCell ref="L77:L82"/>
    <mergeCell ref="L85:L87"/>
    <mergeCell ref="L88:L91"/>
    <mergeCell ref="L93:L97"/>
    <mergeCell ref="N47:N48"/>
    <mergeCell ref="L56:L57"/>
    <mergeCell ref="A58:J58"/>
    <mergeCell ref="L61:L64"/>
    <mergeCell ref="A65:J65"/>
    <mergeCell ref="A75:N75"/>
    <mergeCell ref="M76:N76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555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2.203536E7</v>
      </c>
      <c r="C4" s="31">
        <v>3.50476E8</v>
      </c>
      <c r="D4" s="34">
        <v>0.0</v>
      </c>
      <c r="E4" s="32">
        <v>0.063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2.203536E7</v>
      </c>
      <c r="C5" s="31">
        <v>3.22041E8</v>
      </c>
      <c r="D5" s="34">
        <v>0.0</v>
      </c>
      <c r="E5" s="32">
        <v>0.068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485</v>
      </c>
      <c r="B9" s="3"/>
      <c r="C9" s="31">
        <v>1.152071E7</v>
      </c>
      <c r="D9" s="47" t="s">
        <v>485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486</v>
      </c>
      <c r="B10" s="3"/>
      <c r="C10" s="31">
        <v>9877480.0</v>
      </c>
      <c r="D10" s="47" t="s">
        <v>486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487</v>
      </c>
      <c r="B11" s="3"/>
      <c r="C11" s="31">
        <v>9658610.0</v>
      </c>
      <c r="D11" s="47" t="s">
        <v>487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19</v>
      </c>
      <c r="B12" s="3"/>
      <c r="C12" s="49">
        <v>3.10568E7</v>
      </c>
      <c r="D12" s="48" t="s">
        <v>19</v>
      </c>
      <c r="E12" s="3"/>
      <c r="F12" s="49">
        <v>2.203536E7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20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21</v>
      </c>
      <c r="B15" s="56" t="s">
        <v>556</v>
      </c>
      <c r="C15" s="56" t="s">
        <v>23</v>
      </c>
      <c r="D15" s="57" t="s">
        <v>24</v>
      </c>
      <c r="E15" s="56" t="s">
        <v>25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26</v>
      </c>
      <c r="B16" s="61">
        <f>SUMIF(F39:F59,"RED",M39:M59)</f>
        <v>1255600</v>
      </c>
      <c r="C16" s="61">
        <f>L68*C36</f>
        <v>0</v>
      </c>
      <c r="D16" s="61">
        <f>L75*D36</f>
        <v>0</v>
      </c>
      <c r="E16" s="61">
        <f>SUM(B16:D16)</f>
        <v>1255600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27</v>
      </c>
      <c r="B17" s="61">
        <f>SUMIF(F39:F59,"BLUE",M39:M59)</f>
        <v>8403010</v>
      </c>
      <c r="C17" s="62"/>
      <c r="D17" s="62"/>
      <c r="E17" s="61">
        <f t="shared" ref="E17:E19" si="1">SUM(B17:C17)</f>
        <v>8403010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28</v>
      </c>
      <c r="B18" s="61">
        <f>SUMIF(F39:F59,"OEM",M39:M59)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29</v>
      </c>
      <c r="B19" s="61">
        <f>SUMIF(F39:F59,"NO LOGO",M39:M59)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557</v>
      </c>
      <c r="B20" s="66">
        <f>SUM(B16:B19)</f>
        <v>9658610</v>
      </c>
      <c r="C20" s="66">
        <f t="shared" ref="C20:D20" si="2">C16</f>
        <v>0</v>
      </c>
      <c r="D20" s="66">
        <f t="shared" si="2"/>
        <v>0</v>
      </c>
      <c r="E20" s="66">
        <f>SUM(E16:E19)</f>
        <v>9658610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31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21</v>
      </c>
      <c r="B23" s="56" t="s">
        <v>558</v>
      </c>
      <c r="C23" s="56" t="s">
        <v>23</v>
      </c>
      <c r="D23" s="56" t="s">
        <v>25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26</v>
      </c>
      <c r="B24" s="61">
        <f>SUMIFS(K80:K159,O80:O159,"&lt;&gt;"&amp;"CONVUM",O80:O159,"&lt;&gt;"&amp;"MYOTOKU CHINA",F80:F159,"RED")</f>
        <v>232800</v>
      </c>
      <c r="C24" s="61">
        <f>SUMIFS(K80:K159,O80:O159,"CONVUM",F80:F159,"RED")</f>
        <v>0</v>
      </c>
      <c r="D24" s="61">
        <f t="shared" ref="D24:D27" si="3">SUM(B24:C24)</f>
        <v>232800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27</v>
      </c>
      <c r="B25" s="61">
        <f>SUMIFS(K80:K159,O80:O159,"&lt;&gt;"&amp;"CONVUM",O80:O159,"&lt;&gt;"&amp;"MYOTOKU CHINA",F80:F159,"BLUE")</f>
        <v>8722150</v>
      </c>
      <c r="C25" s="62"/>
      <c r="D25" s="61">
        <f t="shared" si="3"/>
        <v>8722150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28</v>
      </c>
      <c r="B26" s="61">
        <f>SUMIFS(K80:K159,O80:O159,"&lt;&gt;"&amp;"CONVUM",O80:O159,"&lt;&gt;"&amp;"MYOTOKU CHINA",F80:F159,"OEM")</f>
        <v>337000</v>
      </c>
      <c r="C26" s="64"/>
      <c r="D26" s="61">
        <f t="shared" si="3"/>
        <v>337000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29</v>
      </c>
      <c r="B27" s="61">
        <f>SUMIFS(K80:K159,O80:O159,"&lt;&gt;"&amp;"CONVUM",O80:O159,"&lt;&gt;"&amp;"MYOTOKU CHINA",F80:F159,"NO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559</v>
      </c>
      <c r="B28" s="66">
        <f>SUM(B24:B27)</f>
        <v>9291950</v>
      </c>
      <c r="C28" s="66">
        <f>C24</f>
        <v>0</v>
      </c>
      <c r="D28" s="66">
        <f>SUM(D24:D27)</f>
        <v>9291950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560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21</v>
      </c>
      <c r="B31" s="56" t="s">
        <v>561</v>
      </c>
      <c r="C31" s="56" t="s">
        <v>23</v>
      </c>
      <c r="D31" s="57" t="s">
        <v>24</v>
      </c>
      <c r="E31" s="56" t="s">
        <v>25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36</v>
      </c>
      <c r="B32" s="61">
        <v>8.573808E7</v>
      </c>
      <c r="C32" s="61">
        <f>3868500*C36</f>
        <v>36259063.65</v>
      </c>
      <c r="D32" s="61">
        <f>0*D36</f>
        <v>0</v>
      </c>
      <c r="E32" s="61">
        <f t="shared" ref="E32:E34" si="4">SUM(B32:D32)</f>
        <v>121997143.7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37</v>
      </c>
      <c r="B33" s="61">
        <v>0.0</v>
      </c>
      <c r="C33" s="61">
        <f>3760000*C36</f>
        <v>35242104</v>
      </c>
      <c r="D33" s="61">
        <f>0*D36</f>
        <v>0</v>
      </c>
      <c r="E33" s="61">
        <f t="shared" si="4"/>
        <v>35242104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38</v>
      </c>
      <c r="B34" s="61">
        <v>2.004498E8</v>
      </c>
      <c r="C34" s="61">
        <f>6926500*C36</f>
        <v>64921391.85</v>
      </c>
      <c r="D34" s="61">
        <v>0.0</v>
      </c>
      <c r="E34" s="61">
        <f t="shared" si="4"/>
        <v>265371191.9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562</v>
      </c>
      <c r="B35" s="66">
        <f t="shared" ref="B35:E35" si="5">SUM(B32:B34)</f>
        <v>286187880</v>
      </c>
      <c r="C35" s="66">
        <f t="shared" si="5"/>
        <v>136422559.5</v>
      </c>
      <c r="D35" s="66">
        <f t="shared" si="5"/>
        <v>0</v>
      </c>
      <c r="E35" s="66">
        <f t="shared" si="5"/>
        <v>422610439.5</v>
      </c>
      <c r="F35" s="43"/>
      <c r="G35" s="58"/>
      <c r="H35" s="43"/>
      <c r="I35" s="44"/>
      <c r="J35" s="42"/>
      <c r="K35" s="75" t="s">
        <v>40</v>
      </c>
      <c r="L35" s="75" t="s">
        <v>41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42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43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44</v>
      </c>
      <c r="B38" s="82" t="s">
        <v>45</v>
      </c>
      <c r="C38" s="82" t="s">
        <v>46</v>
      </c>
      <c r="D38" s="82" t="s">
        <v>47</v>
      </c>
      <c r="E38" s="82" t="s">
        <v>48</v>
      </c>
      <c r="F38" s="82" t="s">
        <v>49</v>
      </c>
      <c r="G38" s="82" t="s">
        <v>50</v>
      </c>
      <c r="H38" s="83" t="s">
        <v>51</v>
      </c>
      <c r="I38" s="82" t="s">
        <v>52</v>
      </c>
      <c r="J38" s="84" t="s">
        <v>53</v>
      </c>
      <c r="K38" s="86" t="s">
        <v>563</v>
      </c>
      <c r="L38" s="85" t="s">
        <v>55</v>
      </c>
      <c r="M38" s="86" t="s">
        <v>56</v>
      </c>
      <c r="N38" s="86" t="s">
        <v>57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2" t="s">
        <v>82</v>
      </c>
      <c r="B39" s="30" t="s">
        <v>139</v>
      </c>
      <c r="C39" s="30" t="s">
        <v>140</v>
      </c>
      <c r="D39" s="30" t="s">
        <v>105</v>
      </c>
      <c r="E39" s="30" t="s">
        <v>70</v>
      </c>
      <c r="F39" s="87" t="s">
        <v>71</v>
      </c>
      <c r="G39" s="87" t="s">
        <v>264</v>
      </c>
      <c r="H39" s="87" t="s">
        <v>265</v>
      </c>
      <c r="I39" s="30"/>
      <c r="J39" s="35">
        <v>20.0</v>
      </c>
      <c r="K39" s="89" t="s">
        <v>40</v>
      </c>
      <c r="L39" s="90">
        <v>15400.0</v>
      </c>
      <c r="M39" s="31">
        <v>308000.0</v>
      </c>
      <c r="N39" s="93">
        <f>SUM(M39:M45)</f>
        <v>324130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139</v>
      </c>
      <c r="C40" s="30" t="s">
        <v>140</v>
      </c>
      <c r="D40" s="30" t="s">
        <v>105</v>
      </c>
      <c r="E40" s="30" t="s">
        <v>62</v>
      </c>
      <c r="F40" s="87" t="s">
        <v>63</v>
      </c>
      <c r="G40" s="87" t="s">
        <v>533</v>
      </c>
      <c r="H40" s="87" t="s">
        <v>534</v>
      </c>
      <c r="I40" s="30"/>
      <c r="J40" s="35">
        <v>1.0</v>
      </c>
      <c r="K40" s="89" t="s">
        <v>40</v>
      </c>
      <c r="L40" s="90">
        <v>4510.0</v>
      </c>
      <c r="M40" s="31">
        <v>4510.0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139</v>
      </c>
      <c r="C41" s="30" t="s">
        <v>140</v>
      </c>
      <c r="D41" s="30" t="s">
        <v>105</v>
      </c>
      <c r="E41" s="30" t="s">
        <v>62</v>
      </c>
      <c r="F41" s="87" t="s">
        <v>63</v>
      </c>
      <c r="G41" s="87" t="s">
        <v>313</v>
      </c>
      <c r="H41" s="87" t="s">
        <v>314</v>
      </c>
      <c r="I41" s="30"/>
      <c r="J41" s="35">
        <v>1.0</v>
      </c>
      <c r="K41" s="89" t="s">
        <v>40</v>
      </c>
      <c r="L41" s="90">
        <v>1910.0</v>
      </c>
      <c r="M41" s="31">
        <v>1910.0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139</v>
      </c>
      <c r="C42" s="30" t="s">
        <v>140</v>
      </c>
      <c r="D42" s="30" t="s">
        <v>105</v>
      </c>
      <c r="E42" s="30" t="s">
        <v>106</v>
      </c>
      <c r="F42" s="87" t="s">
        <v>63</v>
      </c>
      <c r="G42" s="87" t="s">
        <v>350</v>
      </c>
      <c r="H42" s="87" t="s">
        <v>351</v>
      </c>
      <c r="I42" s="30"/>
      <c r="J42" s="35">
        <v>1.0</v>
      </c>
      <c r="K42" s="89" t="s">
        <v>40</v>
      </c>
      <c r="L42" s="90">
        <v>1910.0</v>
      </c>
      <c r="M42" s="31">
        <v>1910.0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139</v>
      </c>
      <c r="C43" s="30" t="s">
        <v>140</v>
      </c>
      <c r="D43" s="30" t="s">
        <v>105</v>
      </c>
      <c r="E43" s="30" t="s">
        <v>62</v>
      </c>
      <c r="F43" s="87" t="s">
        <v>63</v>
      </c>
      <c r="G43" s="87" t="s">
        <v>346</v>
      </c>
      <c r="H43" s="87" t="s">
        <v>347</v>
      </c>
      <c r="I43" s="30"/>
      <c r="J43" s="35">
        <v>1.0</v>
      </c>
      <c r="K43" s="89" t="s">
        <v>40</v>
      </c>
      <c r="L43" s="90">
        <v>3150.0</v>
      </c>
      <c r="M43" s="31">
        <v>3150.0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139</v>
      </c>
      <c r="C44" s="30" t="s">
        <v>140</v>
      </c>
      <c r="D44" s="30" t="s">
        <v>105</v>
      </c>
      <c r="E44" s="30" t="s">
        <v>62</v>
      </c>
      <c r="F44" s="87" t="s">
        <v>63</v>
      </c>
      <c r="G44" s="87" t="s">
        <v>348</v>
      </c>
      <c r="H44" s="87" t="s">
        <v>349</v>
      </c>
      <c r="I44" s="30"/>
      <c r="J44" s="35">
        <v>1.0</v>
      </c>
      <c r="K44" s="89" t="s">
        <v>40</v>
      </c>
      <c r="L44" s="90">
        <v>1910.0</v>
      </c>
      <c r="M44" s="31">
        <v>1910.0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139</v>
      </c>
      <c r="C45" s="30" t="s">
        <v>140</v>
      </c>
      <c r="D45" s="30" t="s">
        <v>105</v>
      </c>
      <c r="E45" s="30" t="s">
        <v>62</v>
      </c>
      <c r="F45" s="87" t="s">
        <v>63</v>
      </c>
      <c r="G45" s="87" t="s">
        <v>535</v>
      </c>
      <c r="H45" s="87" t="s">
        <v>536</v>
      </c>
      <c r="I45" s="30"/>
      <c r="J45" s="35">
        <v>1.0</v>
      </c>
      <c r="K45" s="89" t="s">
        <v>40</v>
      </c>
      <c r="L45" s="90">
        <v>2740.0</v>
      </c>
      <c r="M45" s="31">
        <v>2740.0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207</v>
      </c>
      <c r="B46" s="148" t="s">
        <v>208</v>
      </c>
      <c r="C46" s="30" t="s">
        <v>67</v>
      </c>
      <c r="D46" s="30" t="s">
        <v>105</v>
      </c>
      <c r="E46" s="30" t="s">
        <v>62</v>
      </c>
      <c r="F46" s="87" t="s">
        <v>71</v>
      </c>
      <c r="G46" s="87" t="s">
        <v>74</v>
      </c>
      <c r="H46" s="87" t="s">
        <v>75</v>
      </c>
      <c r="I46" s="30"/>
      <c r="J46" s="35">
        <v>28.0</v>
      </c>
      <c r="K46" s="89" t="s">
        <v>41</v>
      </c>
      <c r="L46" s="90">
        <v>29500.0</v>
      </c>
      <c r="M46" s="31">
        <v>826000.0</v>
      </c>
      <c r="N46" s="91">
        <f t="shared" ref="N46:N47" si="6">SUM(M46)</f>
        <v>826000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537</v>
      </c>
      <c r="B47" s="30" t="s">
        <v>538</v>
      </c>
      <c r="C47" s="30" t="s">
        <v>98</v>
      </c>
      <c r="D47" s="30" t="s">
        <v>148</v>
      </c>
      <c r="E47" s="30" t="s">
        <v>62</v>
      </c>
      <c r="F47" s="87" t="s">
        <v>63</v>
      </c>
      <c r="G47" s="87" t="s">
        <v>477</v>
      </c>
      <c r="H47" s="87" t="s">
        <v>478</v>
      </c>
      <c r="I47" s="30"/>
      <c r="J47" s="35">
        <v>64.0</v>
      </c>
      <c r="K47" s="89" t="s">
        <v>40</v>
      </c>
      <c r="L47" s="90">
        <v>8000.0</v>
      </c>
      <c r="M47" s="31">
        <v>512000.0</v>
      </c>
      <c r="N47" s="91">
        <f t="shared" si="6"/>
        <v>512000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2" t="s">
        <v>96</v>
      </c>
      <c r="B48" s="30" t="s">
        <v>211</v>
      </c>
      <c r="C48" s="30" t="s">
        <v>189</v>
      </c>
      <c r="D48" s="30" t="s">
        <v>105</v>
      </c>
      <c r="E48" s="30" t="s">
        <v>62</v>
      </c>
      <c r="F48" s="87" t="s">
        <v>63</v>
      </c>
      <c r="G48" s="87" t="s">
        <v>320</v>
      </c>
      <c r="H48" s="87" t="s">
        <v>321</v>
      </c>
      <c r="I48" s="30"/>
      <c r="J48" s="35">
        <v>10.0</v>
      </c>
      <c r="K48" s="89" t="s">
        <v>41</v>
      </c>
      <c r="L48" s="90">
        <v>1100.0</v>
      </c>
      <c r="M48" s="31">
        <v>11000.0</v>
      </c>
      <c r="N48" s="93">
        <f>SUM(M48:M50)</f>
        <v>187100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211</v>
      </c>
      <c r="C49" s="30" t="s">
        <v>189</v>
      </c>
      <c r="D49" s="30" t="s">
        <v>105</v>
      </c>
      <c r="E49" s="30" t="s">
        <v>62</v>
      </c>
      <c r="F49" s="87" t="s">
        <v>63</v>
      </c>
      <c r="G49" s="87" t="s">
        <v>318</v>
      </c>
      <c r="H49" s="87" t="s">
        <v>319</v>
      </c>
      <c r="I49" s="30"/>
      <c r="J49" s="35">
        <v>12.0</v>
      </c>
      <c r="K49" s="89" t="s">
        <v>41</v>
      </c>
      <c r="L49" s="90">
        <v>4500.0</v>
      </c>
      <c r="M49" s="31">
        <v>54000.0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211</v>
      </c>
      <c r="C50" s="30" t="s">
        <v>189</v>
      </c>
      <c r="D50" s="30" t="s">
        <v>105</v>
      </c>
      <c r="E50" s="30" t="s">
        <v>185</v>
      </c>
      <c r="F50" s="87" t="s">
        <v>63</v>
      </c>
      <c r="G50" s="87" t="s">
        <v>212</v>
      </c>
      <c r="H50" s="87" t="s">
        <v>213</v>
      </c>
      <c r="I50" s="30"/>
      <c r="J50" s="35">
        <v>10.0</v>
      </c>
      <c r="K50" s="89" t="s">
        <v>41</v>
      </c>
      <c r="L50" s="90">
        <v>12210.0</v>
      </c>
      <c r="M50" s="31">
        <v>122100.0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2" t="s">
        <v>99</v>
      </c>
      <c r="B51" s="148" t="s">
        <v>368</v>
      </c>
      <c r="C51" s="30" t="s">
        <v>369</v>
      </c>
      <c r="D51" s="30" t="s">
        <v>61</v>
      </c>
      <c r="E51" s="30" t="s">
        <v>62</v>
      </c>
      <c r="F51" s="87" t="s">
        <v>63</v>
      </c>
      <c r="G51" s="87" t="s">
        <v>544</v>
      </c>
      <c r="H51" s="87" t="s">
        <v>545</v>
      </c>
      <c r="I51" s="30"/>
      <c r="J51" s="35">
        <v>106.0</v>
      </c>
      <c r="K51" s="89" t="s">
        <v>41</v>
      </c>
      <c r="L51" s="90">
        <v>26100.0</v>
      </c>
      <c r="M51" s="31">
        <v>2766600.0</v>
      </c>
      <c r="N51" s="93">
        <f>SUM(M51:M53)</f>
        <v>2780900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474</v>
      </c>
      <c r="C52" s="30" t="s">
        <v>67</v>
      </c>
      <c r="D52" s="30" t="s">
        <v>61</v>
      </c>
      <c r="E52" s="30" t="s">
        <v>70</v>
      </c>
      <c r="F52" s="87" t="s">
        <v>71</v>
      </c>
      <c r="G52" s="87" t="s">
        <v>475</v>
      </c>
      <c r="H52" s="87" t="s">
        <v>476</v>
      </c>
      <c r="I52" s="30"/>
      <c r="J52" s="35">
        <v>2.0</v>
      </c>
      <c r="K52" s="89" t="s">
        <v>40</v>
      </c>
      <c r="L52" s="90">
        <v>3900.0</v>
      </c>
      <c r="M52" s="31">
        <v>7800.0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474</v>
      </c>
      <c r="C53" s="30" t="s">
        <v>67</v>
      </c>
      <c r="D53" s="30" t="s">
        <v>61</v>
      </c>
      <c r="E53" s="30" t="s">
        <v>62</v>
      </c>
      <c r="F53" s="87" t="s">
        <v>63</v>
      </c>
      <c r="G53" s="87" t="s">
        <v>542</v>
      </c>
      <c r="H53" s="87" t="s">
        <v>543</v>
      </c>
      <c r="I53" s="30"/>
      <c r="J53" s="35">
        <v>2.0</v>
      </c>
      <c r="K53" s="89" t="s">
        <v>40</v>
      </c>
      <c r="L53" s="90">
        <v>3250.0</v>
      </c>
      <c r="M53" s="31">
        <v>6500.0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2" t="s">
        <v>182</v>
      </c>
      <c r="B54" s="30" t="s">
        <v>183</v>
      </c>
      <c r="C54" s="30" t="s">
        <v>184</v>
      </c>
      <c r="D54" s="30" t="s">
        <v>61</v>
      </c>
      <c r="E54" s="30" t="s">
        <v>62</v>
      </c>
      <c r="F54" s="87" t="s">
        <v>63</v>
      </c>
      <c r="G54" s="87" t="s">
        <v>548</v>
      </c>
      <c r="H54" s="87" t="s">
        <v>549</v>
      </c>
      <c r="I54" s="30"/>
      <c r="J54" s="35">
        <v>8.0</v>
      </c>
      <c r="K54" s="89" t="s">
        <v>40</v>
      </c>
      <c r="L54" s="90">
        <v>2460.0</v>
      </c>
      <c r="M54" s="31">
        <v>19680.0</v>
      </c>
      <c r="N54" s="93">
        <f>SUM(M54:M59)</f>
        <v>5028480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183</v>
      </c>
      <c r="C55" s="30" t="s">
        <v>184</v>
      </c>
      <c r="D55" s="30" t="s">
        <v>61</v>
      </c>
      <c r="E55" s="30" t="s">
        <v>185</v>
      </c>
      <c r="F55" s="87" t="s">
        <v>63</v>
      </c>
      <c r="G55" s="87" t="s">
        <v>564</v>
      </c>
      <c r="H55" s="87" t="s">
        <v>565</v>
      </c>
      <c r="I55" s="30"/>
      <c r="J55" s="35">
        <v>500.0</v>
      </c>
      <c r="K55" s="89" t="s">
        <v>41</v>
      </c>
      <c r="L55" s="90">
        <v>9000.0</v>
      </c>
      <c r="M55" s="31">
        <v>4500000.0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339</v>
      </c>
      <c r="C56" s="30" t="s">
        <v>340</v>
      </c>
      <c r="D56" s="30" t="s">
        <v>61</v>
      </c>
      <c r="E56" s="30" t="s">
        <v>62</v>
      </c>
      <c r="F56" s="87" t="s">
        <v>63</v>
      </c>
      <c r="G56" s="87" t="s">
        <v>553</v>
      </c>
      <c r="H56" s="87" t="s">
        <v>554</v>
      </c>
      <c r="I56" s="30"/>
      <c r="J56" s="35">
        <v>40.0</v>
      </c>
      <c r="K56" s="89" t="s">
        <v>41</v>
      </c>
      <c r="L56" s="90">
        <v>3500.0</v>
      </c>
      <c r="M56" s="31">
        <v>140000.0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339</v>
      </c>
      <c r="C57" s="30" t="s">
        <v>340</v>
      </c>
      <c r="D57" s="30" t="s">
        <v>61</v>
      </c>
      <c r="E57" s="30" t="s">
        <v>62</v>
      </c>
      <c r="F57" s="87" t="s">
        <v>63</v>
      </c>
      <c r="G57" s="87" t="s">
        <v>307</v>
      </c>
      <c r="H57" s="87" t="s">
        <v>308</v>
      </c>
      <c r="I57" s="30"/>
      <c r="J57" s="35">
        <v>70.0</v>
      </c>
      <c r="K57" s="89" t="s">
        <v>41</v>
      </c>
      <c r="L57" s="90">
        <v>1500.0</v>
      </c>
      <c r="M57" s="31">
        <v>105000.0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64"/>
      <c r="B58" s="30" t="s">
        <v>339</v>
      </c>
      <c r="C58" s="30" t="s">
        <v>340</v>
      </c>
      <c r="D58" s="30" t="s">
        <v>61</v>
      </c>
      <c r="E58" s="30" t="s">
        <v>62</v>
      </c>
      <c r="F58" s="87" t="s">
        <v>63</v>
      </c>
      <c r="G58" s="87" t="s">
        <v>348</v>
      </c>
      <c r="H58" s="87" t="s">
        <v>349</v>
      </c>
      <c r="I58" s="30"/>
      <c r="J58" s="35">
        <v>100.0</v>
      </c>
      <c r="K58" s="89" t="s">
        <v>41</v>
      </c>
      <c r="L58" s="90">
        <v>1500.0</v>
      </c>
      <c r="M58" s="31">
        <v>150000.0</v>
      </c>
      <c r="N58" s="64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71"/>
      <c r="B59" s="30" t="s">
        <v>550</v>
      </c>
      <c r="C59" s="30" t="s">
        <v>98</v>
      </c>
      <c r="D59" s="30" t="s">
        <v>85</v>
      </c>
      <c r="E59" s="30" t="s">
        <v>62</v>
      </c>
      <c r="F59" s="87" t="s">
        <v>71</v>
      </c>
      <c r="G59" s="87" t="s">
        <v>551</v>
      </c>
      <c r="H59" s="87" t="s">
        <v>552</v>
      </c>
      <c r="I59" s="30"/>
      <c r="J59" s="35">
        <v>2.0</v>
      </c>
      <c r="K59" s="89" t="s">
        <v>40</v>
      </c>
      <c r="L59" s="90">
        <v>56900.0</v>
      </c>
      <c r="M59" s="31">
        <v>113800.0</v>
      </c>
      <c r="N59" s="71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0" customHeight="1">
      <c r="A60" s="95" t="str">
        <f>MID(CELL("filename",$A$1),FIND("]",CELL("filename",$A$1))+1,100)&amp;" TOTAL"</f>
        <v>#VALUE!</v>
      </c>
      <c r="B60" s="96"/>
      <c r="C60" s="96"/>
      <c r="D60" s="96"/>
      <c r="E60" s="96"/>
      <c r="F60" s="96"/>
      <c r="G60" s="97"/>
      <c r="H60" s="97"/>
      <c r="I60" s="96"/>
      <c r="J60" s="96"/>
      <c r="K60" s="98"/>
      <c r="L60" s="99"/>
      <c r="M60" s="66">
        <f t="shared" ref="M60:N60" si="7">SUM(M39:M59)</f>
        <v>9658610</v>
      </c>
      <c r="N60" s="100">
        <f t="shared" si="7"/>
        <v>9658610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101"/>
      <c r="B61" s="102"/>
      <c r="C61" s="102"/>
      <c r="D61" s="102"/>
      <c r="E61" s="102"/>
      <c r="F61" s="102"/>
      <c r="G61" s="102"/>
      <c r="H61" s="103"/>
      <c r="I61" s="102"/>
      <c r="J61" s="102"/>
      <c r="K61" s="102"/>
      <c r="L61" s="104"/>
      <c r="M61" s="105"/>
      <c r="N61" s="10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0.25" customHeight="1">
      <c r="A62" s="101" t="s">
        <v>109</v>
      </c>
      <c r="B62" s="106"/>
      <c r="C62" s="107"/>
      <c r="D62" s="107"/>
      <c r="E62" s="107"/>
      <c r="F62" s="107"/>
      <c r="G62" s="107"/>
      <c r="H62" s="108"/>
      <c r="I62" s="107"/>
      <c r="J62" s="107"/>
      <c r="K62" s="43"/>
      <c r="L62" s="109"/>
      <c r="M62" s="43"/>
      <c r="N62" s="109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1"/>
      <c r="B63" s="106"/>
      <c r="C63" s="107"/>
      <c r="D63" s="107"/>
      <c r="E63" s="107"/>
      <c r="F63" s="107"/>
      <c r="G63" s="107"/>
      <c r="H63" s="108"/>
      <c r="I63" s="107"/>
      <c r="J63" s="107"/>
      <c r="K63" s="43"/>
      <c r="L63" s="109"/>
      <c r="M63" s="43"/>
      <c r="N63" s="109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10" t="s">
        <v>110</v>
      </c>
      <c r="B64" s="67"/>
      <c r="C64" s="67"/>
      <c r="D64" s="101"/>
      <c r="E64" s="67"/>
      <c r="F64" s="67"/>
      <c r="G64" s="67"/>
      <c r="H64" s="111"/>
      <c r="I64" s="112"/>
      <c r="J64" s="112"/>
      <c r="K64" s="112"/>
      <c r="L64" s="112"/>
      <c r="M64" s="68"/>
      <c r="N64" s="113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57" t="s">
        <v>44</v>
      </c>
      <c r="B65" s="57" t="s">
        <v>45</v>
      </c>
      <c r="C65" s="57" t="s">
        <v>46</v>
      </c>
      <c r="D65" s="57" t="s">
        <v>566</v>
      </c>
      <c r="E65" s="57" t="s">
        <v>48</v>
      </c>
      <c r="F65" s="57" t="s">
        <v>112</v>
      </c>
      <c r="G65" s="57" t="s">
        <v>50</v>
      </c>
      <c r="H65" s="57" t="s">
        <v>51</v>
      </c>
      <c r="I65" s="57" t="s">
        <v>53</v>
      </c>
      <c r="J65" s="57" t="s">
        <v>113</v>
      </c>
      <c r="K65" s="57" t="s">
        <v>114</v>
      </c>
      <c r="L65" s="114" t="s">
        <v>115</v>
      </c>
      <c r="M65" s="114" t="s">
        <v>116</v>
      </c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92"/>
      <c r="B66" s="117"/>
      <c r="C66" s="88"/>
      <c r="D66" s="30"/>
      <c r="E66" s="30"/>
      <c r="F66" s="87"/>
      <c r="G66" s="87"/>
      <c r="H66" s="87"/>
      <c r="I66" s="34"/>
      <c r="J66" s="118"/>
      <c r="K66" s="118"/>
      <c r="L66" s="119"/>
      <c r="M66" s="120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71"/>
      <c r="B67" s="71"/>
      <c r="C67" s="88"/>
      <c r="D67" s="30"/>
      <c r="E67" s="30"/>
      <c r="F67" s="87"/>
      <c r="G67" s="87"/>
      <c r="H67" s="87"/>
      <c r="I67" s="31"/>
      <c r="J67" s="118"/>
      <c r="K67" s="118"/>
      <c r="L67" s="64"/>
      <c r="M67" s="120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21" t="str">
        <f>A60</f>
        <v>#VALUE!</v>
      </c>
      <c r="B68" s="2"/>
      <c r="C68" s="2"/>
      <c r="D68" s="2"/>
      <c r="E68" s="2"/>
      <c r="F68" s="2"/>
      <c r="G68" s="2"/>
      <c r="H68" s="2"/>
      <c r="I68" s="2"/>
      <c r="J68" s="3"/>
      <c r="K68" s="122">
        <f>SUM(K66:K67)</f>
        <v>0</v>
      </c>
      <c r="L68" s="123">
        <f>SUM(L66)</f>
        <v>0</v>
      </c>
      <c r="M68" s="56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101"/>
      <c r="B69" s="67"/>
      <c r="C69" s="67"/>
      <c r="D69" s="101"/>
      <c r="E69" s="67"/>
      <c r="F69" s="67"/>
      <c r="G69" s="67"/>
      <c r="H69" s="111"/>
      <c r="I69" s="112"/>
      <c r="J69" s="112"/>
      <c r="K69" s="112"/>
      <c r="L69" s="112"/>
      <c r="M69" s="68"/>
      <c r="N69" s="113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6.5" hidden="1" customHeight="1">
      <c r="A70" s="57" t="s">
        <v>44</v>
      </c>
      <c r="B70" s="57" t="s">
        <v>45</v>
      </c>
      <c r="C70" s="57" t="s">
        <v>46</v>
      </c>
      <c r="D70" s="57" t="s">
        <v>567</v>
      </c>
      <c r="E70" s="57" t="s">
        <v>48</v>
      </c>
      <c r="F70" s="57" t="s">
        <v>118</v>
      </c>
      <c r="G70" s="57" t="s">
        <v>50</v>
      </c>
      <c r="H70" s="57" t="s">
        <v>51</v>
      </c>
      <c r="I70" s="114" t="s">
        <v>53</v>
      </c>
      <c r="J70" s="114" t="s">
        <v>119</v>
      </c>
      <c r="K70" s="124" t="s">
        <v>120</v>
      </c>
      <c r="L70" s="125" t="s">
        <v>121</v>
      </c>
      <c r="M70" s="124" t="s">
        <v>116</v>
      </c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92"/>
      <c r="B71" s="156"/>
      <c r="C71" s="157"/>
      <c r="D71" s="158"/>
      <c r="E71" s="30"/>
      <c r="F71" s="87"/>
      <c r="G71" s="159"/>
      <c r="H71" s="159"/>
      <c r="I71" s="160"/>
      <c r="J71" s="161"/>
      <c r="K71" s="162"/>
      <c r="L71" s="163"/>
      <c r="M71" s="164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45"/>
      <c r="B72" s="165"/>
      <c r="C72" s="157"/>
      <c r="D72" s="158"/>
      <c r="E72" s="30"/>
      <c r="F72" s="87"/>
      <c r="G72" s="166"/>
      <c r="H72" s="167"/>
      <c r="I72" s="161"/>
      <c r="J72" s="161"/>
      <c r="K72" s="161"/>
      <c r="L72" s="168"/>
      <c r="M72" s="164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45"/>
      <c r="B73" s="165"/>
      <c r="C73" s="157"/>
      <c r="D73" s="158"/>
      <c r="E73" s="30"/>
      <c r="F73" s="87"/>
      <c r="G73" s="166"/>
      <c r="H73" s="167"/>
      <c r="I73" s="161"/>
      <c r="J73" s="161"/>
      <c r="K73" s="161"/>
      <c r="L73" s="168"/>
      <c r="M73" s="164"/>
      <c r="N73" s="58"/>
      <c r="O73" s="115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6.5" hidden="1" customHeight="1">
      <c r="A74" s="146"/>
      <c r="B74" s="169"/>
      <c r="C74" s="157"/>
      <c r="D74" s="158"/>
      <c r="E74" s="30"/>
      <c r="F74" s="87"/>
      <c r="G74" s="166"/>
      <c r="H74" s="167"/>
      <c r="I74" s="161"/>
      <c r="J74" s="161"/>
      <c r="K74" s="161"/>
      <c r="L74" s="170"/>
      <c r="M74" s="164"/>
      <c r="N74" s="58"/>
      <c r="O74" s="115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6.5" hidden="1" customHeight="1">
      <c r="A75" s="129" t="str">
        <f>A60</f>
        <v>#VALUE!</v>
      </c>
      <c r="B75" s="80"/>
      <c r="C75" s="80"/>
      <c r="D75" s="80"/>
      <c r="E75" s="80"/>
      <c r="F75" s="80"/>
      <c r="G75" s="80"/>
      <c r="H75" s="80"/>
      <c r="I75" s="80"/>
      <c r="J75" s="130"/>
      <c r="K75" s="131">
        <f>SUM(K71:K74)</f>
        <v>0</v>
      </c>
      <c r="L75" s="131">
        <f>SUM(L71)</f>
        <v>0</v>
      </c>
      <c r="M75" s="132"/>
      <c r="N75" s="44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hidden="1" customHeight="1">
      <c r="A76" s="133"/>
      <c r="B76" s="134"/>
      <c r="C76" s="112"/>
      <c r="D76" s="112"/>
      <c r="E76" s="134"/>
      <c r="F76" s="134"/>
      <c r="G76" s="134"/>
      <c r="H76" s="111"/>
      <c r="I76" s="112"/>
      <c r="J76" s="112"/>
      <c r="K76" s="112"/>
      <c r="L76" s="112"/>
      <c r="M76" s="134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0.75" hidden="1" customHeight="1">
      <c r="A77" s="133"/>
      <c r="B77" s="134"/>
      <c r="C77" s="112"/>
      <c r="D77" s="112"/>
      <c r="E77" s="134"/>
      <c r="F77" s="134"/>
      <c r="G77" s="134"/>
      <c r="H77" s="111"/>
      <c r="I77" s="112"/>
      <c r="J77" s="112"/>
      <c r="K77" s="112"/>
      <c r="L77" s="112"/>
      <c r="M77" s="134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33"/>
      <c r="B78" s="134"/>
      <c r="C78" s="112"/>
      <c r="D78" s="112"/>
      <c r="E78" s="134"/>
      <c r="F78" s="134"/>
      <c r="G78" s="134"/>
      <c r="H78" s="111"/>
      <c r="I78" s="112"/>
      <c r="J78" s="112"/>
      <c r="K78" s="112"/>
      <c r="L78" s="112"/>
      <c r="M78" s="134"/>
      <c r="N78" s="11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hidden="1" customHeight="1">
      <c r="A79" s="133"/>
      <c r="B79" s="134"/>
      <c r="C79" s="112"/>
      <c r="D79" s="112"/>
      <c r="E79" s="134"/>
      <c r="F79" s="134"/>
      <c r="G79" s="134"/>
      <c r="H79" s="111"/>
      <c r="I79" s="112"/>
      <c r="J79" s="112"/>
      <c r="K79" s="112"/>
      <c r="L79" s="112"/>
      <c r="M79" s="134"/>
      <c r="N79" s="11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 t="s">
        <v>568</v>
      </c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2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hidden="1" customHeight="1">
      <c r="A83" s="112"/>
      <c r="B83" s="135"/>
      <c r="C83" s="136"/>
      <c r="D83" s="136"/>
      <c r="E83" s="135"/>
      <c r="F83" s="136"/>
      <c r="G83" s="135"/>
      <c r="H83" s="137"/>
      <c r="I83" s="136"/>
      <c r="J83" s="136"/>
      <c r="K83" s="136"/>
      <c r="L83" s="136"/>
      <c r="M83" s="135"/>
      <c r="N83" s="138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112"/>
      <c r="B84" s="135"/>
      <c r="C84" s="136"/>
      <c r="D84" s="136"/>
      <c r="E84" s="135"/>
      <c r="F84" s="136"/>
      <c r="G84" s="135"/>
      <c r="H84" s="137"/>
      <c r="I84" s="136"/>
      <c r="J84" s="136"/>
      <c r="K84" s="136"/>
      <c r="L84" s="136"/>
      <c r="M84" s="135"/>
      <c r="N84" s="138"/>
      <c r="O84" s="75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0" customHeight="1">
      <c r="A85" s="79" t="s">
        <v>123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56" t="s">
        <v>44</v>
      </c>
      <c r="B86" s="56" t="s">
        <v>45</v>
      </c>
      <c r="C86" s="56" t="s">
        <v>46</v>
      </c>
      <c r="D86" s="56" t="s">
        <v>569</v>
      </c>
      <c r="E86" s="56" t="s">
        <v>48</v>
      </c>
      <c r="F86" s="56" t="s">
        <v>49</v>
      </c>
      <c r="G86" s="56" t="s">
        <v>50</v>
      </c>
      <c r="H86" s="57" t="s">
        <v>51</v>
      </c>
      <c r="I86" s="139" t="s">
        <v>53</v>
      </c>
      <c r="J86" s="139" t="s">
        <v>55</v>
      </c>
      <c r="K86" s="124" t="s">
        <v>125</v>
      </c>
      <c r="L86" s="125" t="s">
        <v>57</v>
      </c>
      <c r="M86" s="140" t="s">
        <v>116</v>
      </c>
      <c r="N86" s="3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87" t="s">
        <v>570</v>
      </c>
      <c r="B87" s="30" t="s">
        <v>571</v>
      </c>
      <c r="C87" s="30" t="s">
        <v>67</v>
      </c>
      <c r="D87" s="30" t="s">
        <v>61</v>
      </c>
      <c r="E87" s="30" t="s">
        <v>185</v>
      </c>
      <c r="F87" s="87" t="s">
        <v>63</v>
      </c>
      <c r="G87" s="87" t="s">
        <v>572</v>
      </c>
      <c r="H87" s="87" t="s">
        <v>573</v>
      </c>
      <c r="I87" s="34">
        <v>10.0</v>
      </c>
      <c r="J87" s="31">
        <v>3600.0</v>
      </c>
      <c r="K87" s="31">
        <v>36000.0</v>
      </c>
      <c r="L87" s="91">
        <f>SUM(K87)</f>
        <v>36000</v>
      </c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92" t="s">
        <v>135</v>
      </c>
      <c r="B88" s="30" t="s">
        <v>416</v>
      </c>
      <c r="C88" s="30" t="s">
        <v>67</v>
      </c>
      <c r="D88" s="30" t="s">
        <v>61</v>
      </c>
      <c r="E88" s="30" t="s">
        <v>62</v>
      </c>
      <c r="F88" s="87" t="s">
        <v>63</v>
      </c>
      <c r="G88" s="87" t="s">
        <v>311</v>
      </c>
      <c r="H88" s="87" t="s">
        <v>312</v>
      </c>
      <c r="I88" s="34">
        <v>46.0</v>
      </c>
      <c r="J88" s="31">
        <v>3100.0</v>
      </c>
      <c r="K88" s="31">
        <v>142600.0</v>
      </c>
      <c r="L88" s="93">
        <f>SUM(K88:K89)</f>
        <v>221400</v>
      </c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149" t="s">
        <v>574</v>
      </c>
      <c r="C89" s="30" t="s">
        <v>98</v>
      </c>
      <c r="D89" s="30" t="s">
        <v>85</v>
      </c>
      <c r="E89" s="30" t="s">
        <v>62</v>
      </c>
      <c r="F89" s="87" t="s">
        <v>63</v>
      </c>
      <c r="G89" s="87" t="s">
        <v>272</v>
      </c>
      <c r="H89" s="87" t="s">
        <v>273</v>
      </c>
      <c r="I89" s="34">
        <v>20.0</v>
      </c>
      <c r="J89" s="31">
        <v>3940.0</v>
      </c>
      <c r="K89" s="31">
        <v>78800.0</v>
      </c>
      <c r="L89" s="71"/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2" t="s">
        <v>82</v>
      </c>
      <c r="B90" s="30" t="s">
        <v>139</v>
      </c>
      <c r="C90" s="30" t="s">
        <v>140</v>
      </c>
      <c r="D90" s="30" t="s">
        <v>105</v>
      </c>
      <c r="E90" s="30" t="s">
        <v>185</v>
      </c>
      <c r="F90" s="87" t="s">
        <v>63</v>
      </c>
      <c r="G90" s="87" t="s">
        <v>575</v>
      </c>
      <c r="H90" s="87" t="s">
        <v>576</v>
      </c>
      <c r="I90" s="34">
        <v>25.0</v>
      </c>
      <c r="J90" s="31">
        <v>30460.0</v>
      </c>
      <c r="K90" s="31">
        <v>761500.0</v>
      </c>
      <c r="L90" s="93">
        <f>SUM(K90:K96)</f>
        <v>1432190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577</v>
      </c>
      <c r="C91" s="30" t="s">
        <v>67</v>
      </c>
      <c r="D91" s="30" t="s">
        <v>105</v>
      </c>
      <c r="E91" s="30" t="s">
        <v>62</v>
      </c>
      <c r="F91" s="87" t="s">
        <v>63</v>
      </c>
      <c r="G91" s="87" t="s">
        <v>350</v>
      </c>
      <c r="H91" s="87" t="s">
        <v>351</v>
      </c>
      <c r="I91" s="34">
        <v>100.0</v>
      </c>
      <c r="J91" s="31">
        <v>1910.0</v>
      </c>
      <c r="K91" s="31">
        <v>191000.0</v>
      </c>
      <c r="L91" s="64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577</v>
      </c>
      <c r="C92" s="30" t="s">
        <v>67</v>
      </c>
      <c r="D92" s="30" t="s">
        <v>105</v>
      </c>
      <c r="E92" s="30" t="s">
        <v>62</v>
      </c>
      <c r="F92" s="87" t="s">
        <v>63</v>
      </c>
      <c r="G92" s="87" t="s">
        <v>578</v>
      </c>
      <c r="H92" s="87" t="s">
        <v>579</v>
      </c>
      <c r="I92" s="34">
        <v>100.0</v>
      </c>
      <c r="J92" s="31">
        <v>2460.0</v>
      </c>
      <c r="K92" s="31">
        <v>246000.0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580</v>
      </c>
      <c r="C93" s="30" t="s">
        <v>67</v>
      </c>
      <c r="D93" s="30" t="s">
        <v>61</v>
      </c>
      <c r="E93" s="30" t="s">
        <v>106</v>
      </c>
      <c r="F93" s="87" t="s">
        <v>63</v>
      </c>
      <c r="G93" s="87" t="s">
        <v>581</v>
      </c>
      <c r="H93" s="87" t="s">
        <v>582</v>
      </c>
      <c r="I93" s="34">
        <v>100.0</v>
      </c>
      <c r="J93" s="31">
        <v>1200.0</v>
      </c>
      <c r="K93" s="31">
        <v>120000.0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580</v>
      </c>
      <c r="C94" s="30" t="s">
        <v>67</v>
      </c>
      <c r="D94" s="30" t="s">
        <v>61</v>
      </c>
      <c r="E94" s="30" t="s">
        <v>106</v>
      </c>
      <c r="F94" s="87" t="s">
        <v>63</v>
      </c>
      <c r="G94" s="87" t="s">
        <v>583</v>
      </c>
      <c r="H94" s="87" t="s">
        <v>584</v>
      </c>
      <c r="I94" s="34">
        <v>100.0</v>
      </c>
      <c r="J94" s="31">
        <v>1000.0</v>
      </c>
      <c r="K94" s="31">
        <v>100000.0</v>
      </c>
      <c r="L94" s="64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580</v>
      </c>
      <c r="C95" s="30" t="s">
        <v>67</v>
      </c>
      <c r="D95" s="30" t="s">
        <v>61</v>
      </c>
      <c r="E95" s="30" t="s">
        <v>62</v>
      </c>
      <c r="F95" s="87" t="s">
        <v>63</v>
      </c>
      <c r="G95" s="87" t="s">
        <v>583</v>
      </c>
      <c r="H95" s="87" t="s">
        <v>584</v>
      </c>
      <c r="I95" s="34">
        <v>10.0</v>
      </c>
      <c r="J95" s="31">
        <v>1000.0</v>
      </c>
      <c r="K95" s="31">
        <v>10000.0</v>
      </c>
      <c r="L95" s="64"/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71"/>
      <c r="B96" s="30" t="s">
        <v>83</v>
      </c>
      <c r="C96" s="30" t="s">
        <v>84</v>
      </c>
      <c r="D96" s="30" t="s">
        <v>85</v>
      </c>
      <c r="E96" s="30" t="s">
        <v>62</v>
      </c>
      <c r="F96" s="87" t="s">
        <v>63</v>
      </c>
      <c r="G96" s="87" t="s">
        <v>277</v>
      </c>
      <c r="H96" s="87" t="s">
        <v>278</v>
      </c>
      <c r="I96" s="34">
        <v>1.0</v>
      </c>
      <c r="J96" s="31">
        <v>3690.0</v>
      </c>
      <c r="K96" s="31">
        <v>3690.0</v>
      </c>
      <c r="L96" s="71"/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87" t="s">
        <v>279</v>
      </c>
      <c r="B97" s="30" t="s">
        <v>280</v>
      </c>
      <c r="C97" s="30" t="s">
        <v>67</v>
      </c>
      <c r="D97" s="30" t="s">
        <v>61</v>
      </c>
      <c r="E97" s="30" t="s">
        <v>185</v>
      </c>
      <c r="F97" s="87" t="s">
        <v>63</v>
      </c>
      <c r="G97" s="87" t="s">
        <v>585</v>
      </c>
      <c r="H97" s="87" t="s">
        <v>586</v>
      </c>
      <c r="I97" s="34">
        <v>3.0</v>
      </c>
      <c r="J97" s="31">
        <v>142900.0</v>
      </c>
      <c r="K97" s="31">
        <v>428700.0</v>
      </c>
      <c r="L97" s="91">
        <f>SUM(K97)</f>
        <v>428700</v>
      </c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2" t="s">
        <v>153</v>
      </c>
      <c r="B98" s="30" t="s">
        <v>587</v>
      </c>
      <c r="C98" s="30" t="s">
        <v>67</v>
      </c>
      <c r="D98" s="30" t="s">
        <v>105</v>
      </c>
      <c r="E98" s="30" t="s">
        <v>185</v>
      </c>
      <c r="F98" s="87" t="s">
        <v>63</v>
      </c>
      <c r="G98" s="87" t="s">
        <v>588</v>
      </c>
      <c r="H98" s="87" t="s">
        <v>589</v>
      </c>
      <c r="I98" s="34">
        <v>12.0</v>
      </c>
      <c r="J98" s="31">
        <v>10240.0</v>
      </c>
      <c r="K98" s="31">
        <v>122880.0</v>
      </c>
      <c r="L98" s="93">
        <f>SUM(K98:K100)</f>
        <v>282880</v>
      </c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587</v>
      </c>
      <c r="C99" s="30" t="s">
        <v>67</v>
      </c>
      <c r="D99" s="30" t="s">
        <v>105</v>
      </c>
      <c r="E99" s="30" t="s">
        <v>62</v>
      </c>
      <c r="F99" s="87" t="s">
        <v>63</v>
      </c>
      <c r="G99" s="87" t="s">
        <v>590</v>
      </c>
      <c r="H99" s="87" t="s">
        <v>591</v>
      </c>
      <c r="I99" s="34">
        <v>3.0</v>
      </c>
      <c r="J99" s="31">
        <v>21000.0</v>
      </c>
      <c r="K99" s="31">
        <v>63000.0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71"/>
      <c r="B100" s="30" t="s">
        <v>296</v>
      </c>
      <c r="C100" s="30" t="s">
        <v>98</v>
      </c>
      <c r="D100" s="30" t="s">
        <v>61</v>
      </c>
      <c r="E100" s="30" t="s">
        <v>62</v>
      </c>
      <c r="F100" s="87" t="s">
        <v>63</v>
      </c>
      <c r="G100" s="87" t="s">
        <v>592</v>
      </c>
      <c r="H100" s="87" t="s">
        <v>593</v>
      </c>
      <c r="I100" s="34">
        <v>50.0</v>
      </c>
      <c r="J100" s="31">
        <v>1940.0</v>
      </c>
      <c r="K100" s="31">
        <v>97000.0</v>
      </c>
      <c r="L100" s="71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92" t="s">
        <v>92</v>
      </c>
      <c r="B101" s="149" t="s">
        <v>594</v>
      </c>
      <c r="C101" s="30" t="s">
        <v>67</v>
      </c>
      <c r="D101" s="30" t="s">
        <v>61</v>
      </c>
      <c r="E101" s="30" t="s">
        <v>185</v>
      </c>
      <c r="F101" s="87" t="s">
        <v>63</v>
      </c>
      <c r="G101" s="87" t="s">
        <v>595</v>
      </c>
      <c r="H101" s="87" t="s">
        <v>596</v>
      </c>
      <c r="I101" s="34">
        <v>5.0</v>
      </c>
      <c r="J101" s="31">
        <v>395000.0</v>
      </c>
      <c r="K101" s="31">
        <v>1975000.0</v>
      </c>
      <c r="L101" s="93">
        <f>SUM(K101:K103)</f>
        <v>3337000</v>
      </c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93</v>
      </c>
      <c r="C102" s="30" t="s">
        <v>67</v>
      </c>
      <c r="D102" s="30" t="s">
        <v>61</v>
      </c>
      <c r="E102" s="30" t="s">
        <v>62</v>
      </c>
      <c r="F102" s="87" t="s">
        <v>63</v>
      </c>
      <c r="G102" s="87" t="s">
        <v>324</v>
      </c>
      <c r="H102" s="87" t="s">
        <v>325</v>
      </c>
      <c r="I102" s="34">
        <v>300.0</v>
      </c>
      <c r="J102" s="31">
        <v>2180.0</v>
      </c>
      <c r="K102" s="31">
        <v>654000.0</v>
      </c>
      <c r="L102" s="64"/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71"/>
      <c r="B103" s="30" t="s">
        <v>93</v>
      </c>
      <c r="C103" s="30" t="s">
        <v>67</v>
      </c>
      <c r="D103" s="30" t="s">
        <v>61</v>
      </c>
      <c r="E103" s="30" t="s">
        <v>62</v>
      </c>
      <c r="F103" s="87" t="s">
        <v>63</v>
      </c>
      <c r="G103" s="87" t="s">
        <v>90</v>
      </c>
      <c r="H103" s="87" t="s">
        <v>91</v>
      </c>
      <c r="I103" s="34">
        <v>400.0</v>
      </c>
      <c r="J103" s="31">
        <v>1770.0</v>
      </c>
      <c r="K103" s="31">
        <v>708000.0</v>
      </c>
      <c r="L103" s="71"/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92" t="s">
        <v>96</v>
      </c>
      <c r="B104" s="30" t="s">
        <v>597</v>
      </c>
      <c r="C104" s="30" t="s">
        <v>172</v>
      </c>
      <c r="D104" s="30" t="s">
        <v>61</v>
      </c>
      <c r="E104" s="30" t="s">
        <v>185</v>
      </c>
      <c r="F104" s="87" t="s">
        <v>63</v>
      </c>
      <c r="G104" s="87" t="s">
        <v>598</v>
      </c>
      <c r="H104" s="87" t="s">
        <v>599</v>
      </c>
      <c r="I104" s="34">
        <v>4.0</v>
      </c>
      <c r="J104" s="31">
        <v>204600.0</v>
      </c>
      <c r="K104" s="31">
        <v>818400.0</v>
      </c>
      <c r="L104" s="93">
        <f>SUM(K104:K108)</f>
        <v>1398880</v>
      </c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508</v>
      </c>
      <c r="C105" s="30" t="s">
        <v>84</v>
      </c>
      <c r="D105" s="30" t="s">
        <v>85</v>
      </c>
      <c r="E105" s="30" t="s">
        <v>185</v>
      </c>
      <c r="F105" s="87" t="s">
        <v>28</v>
      </c>
      <c r="G105" s="87" t="s">
        <v>600</v>
      </c>
      <c r="H105" s="87" t="s">
        <v>601</v>
      </c>
      <c r="I105" s="34">
        <v>2.0</v>
      </c>
      <c r="J105" s="31">
        <v>168500.0</v>
      </c>
      <c r="K105" s="31">
        <v>337000.0</v>
      </c>
      <c r="L105" s="64"/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602</v>
      </c>
      <c r="C106" s="30" t="s">
        <v>67</v>
      </c>
      <c r="D106" s="30" t="s">
        <v>85</v>
      </c>
      <c r="E106" s="30" t="s">
        <v>62</v>
      </c>
      <c r="F106" s="87" t="s">
        <v>71</v>
      </c>
      <c r="G106" s="87" t="s">
        <v>603</v>
      </c>
      <c r="H106" s="87" t="s">
        <v>604</v>
      </c>
      <c r="I106" s="34">
        <v>3.0</v>
      </c>
      <c r="J106" s="31">
        <v>50600.0</v>
      </c>
      <c r="K106" s="31">
        <v>151800.0</v>
      </c>
      <c r="L106" s="64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165</v>
      </c>
      <c r="C107" s="30" t="s">
        <v>67</v>
      </c>
      <c r="D107" s="30" t="s">
        <v>61</v>
      </c>
      <c r="E107" s="30" t="s">
        <v>62</v>
      </c>
      <c r="F107" s="87" t="s">
        <v>71</v>
      </c>
      <c r="G107" s="87" t="s">
        <v>275</v>
      </c>
      <c r="H107" s="87" t="s">
        <v>276</v>
      </c>
      <c r="I107" s="34">
        <v>15.0</v>
      </c>
      <c r="J107" s="31">
        <v>5400.0</v>
      </c>
      <c r="K107" s="31">
        <v>81000.0</v>
      </c>
      <c r="L107" s="64"/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71"/>
      <c r="B108" s="30" t="s">
        <v>605</v>
      </c>
      <c r="C108" s="30" t="s">
        <v>98</v>
      </c>
      <c r="D108" s="30" t="s">
        <v>85</v>
      </c>
      <c r="E108" s="30" t="s">
        <v>62</v>
      </c>
      <c r="F108" s="87" t="s">
        <v>63</v>
      </c>
      <c r="G108" s="87" t="s">
        <v>606</v>
      </c>
      <c r="H108" s="87" t="s">
        <v>607</v>
      </c>
      <c r="I108" s="34">
        <v>6.0</v>
      </c>
      <c r="J108" s="31">
        <v>1780.0</v>
      </c>
      <c r="K108" s="31">
        <v>10680.0</v>
      </c>
      <c r="L108" s="71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87" t="s">
        <v>99</v>
      </c>
      <c r="B109" s="30" t="s">
        <v>322</v>
      </c>
      <c r="C109" s="30" t="s">
        <v>84</v>
      </c>
      <c r="D109" s="30" t="s">
        <v>85</v>
      </c>
      <c r="E109" s="30" t="s">
        <v>62</v>
      </c>
      <c r="F109" s="87" t="s">
        <v>63</v>
      </c>
      <c r="G109" s="87" t="s">
        <v>608</v>
      </c>
      <c r="H109" s="87" t="s">
        <v>609</v>
      </c>
      <c r="I109" s="34">
        <v>400.0</v>
      </c>
      <c r="J109" s="31">
        <v>4040.0</v>
      </c>
      <c r="K109" s="31">
        <v>1616000.0</v>
      </c>
      <c r="L109" s="91">
        <f>SUM(K109)</f>
        <v>1616000</v>
      </c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2" t="s">
        <v>182</v>
      </c>
      <c r="B110" s="30" t="s">
        <v>339</v>
      </c>
      <c r="C110" s="30" t="s">
        <v>340</v>
      </c>
      <c r="D110" s="30" t="s">
        <v>61</v>
      </c>
      <c r="E110" s="30" t="s">
        <v>106</v>
      </c>
      <c r="F110" s="87" t="s">
        <v>63</v>
      </c>
      <c r="G110" s="87" t="s">
        <v>610</v>
      </c>
      <c r="H110" s="87" t="s">
        <v>611</v>
      </c>
      <c r="I110" s="34">
        <v>52.0</v>
      </c>
      <c r="J110" s="31">
        <v>1900.0</v>
      </c>
      <c r="K110" s="31">
        <v>98800.0</v>
      </c>
      <c r="L110" s="93">
        <f>SUM(K110:K112)</f>
        <v>538900</v>
      </c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64"/>
      <c r="B111" s="30" t="s">
        <v>339</v>
      </c>
      <c r="C111" s="30" t="s">
        <v>340</v>
      </c>
      <c r="D111" s="30" t="s">
        <v>61</v>
      </c>
      <c r="E111" s="30" t="s">
        <v>62</v>
      </c>
      <c r="F111" s="87" t="s">
        <v>63</v>
      </c>
      <c r="G111" s="87" t="s">
        <v>612</v>
      </c>
      <c r="H111" s="87" t="s">
        <v>613</v>
      </c>
      <c r="I111" s="34">
        <v>48.0</v>
      </c>
      <c r="J111" s="31">
        <v>7950.0</v>
      </c>
      <c r="K111" s="31">
        <v>381600.0</v>
      </c>
      <c r="L111" s="64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71"/>
      <c r="B112" s="30" t="s">
        <v>339</v>
      </c>
      <c r="C112" s="30" t="s">
        <v>340</v>
      </c>
      <c r="D112" s="30" t="s">
        <v>61</v>
      </c>
      <c r="E112" s="30" t="s">
        <v>62</v>
      </c>
      <c r="F112" s="87" t="s">
        <v>63</v>
      </c>
      <c r="G112" s="87" t="s">
        <v>614</v>
      </c>
      <c r="H112" s="87" t="s">
        <v>615</v>
      </c>
      <c r="I112" s="34">
        <v>10.0</v>
      </c>
      <c r="J112" s="31">
        <v>5850.0</v>
      </c>
      <c r="K112" s="31">
        <v>58500.0</v>
      </c>
      <c r="L112" s="71"/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7.25" customHeight="1">
      <c r="A113" s="150" t="str">
        <f>MID(CELL("filename",$A$1),FIND("]",CELL("filename",$A$1))+1,100)&amp;" TOTAL"</f>
        <v>#VALUE!</v>
      </c>
      <c r="B113" s="151"/>
      <c r="C113" s="151"/>
      <c r="D113" s="151"/>
      <c r="E113" s="151"/>
      <c r="F113" s="97"/>
      <c r="G113" s="97"/>
      <c r="H113" s="97"/>
      <c r="I113" s="151"/>
      <c r="J113" s="152"/>
      <c r="K113" s="100">
        <f t="shared" ref="K113:L113" si="8">SUM(K87:K112)</f>
        <v>9291950</v>
      </c>
      <c r="L113" s="100">
        <f t="shared" si="8"/>
        <v>9291950</v>
      </c>
      <c r="M113" s="153"/>
      <c r="N113" s="15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70"/>
      <c r="I119" s="42"/>
      <c r="J119" s="42"/>
      <c r="K119" s="42"/>
      <c r="L119" s="42"/>
      <c r="M119" s="43"/>
      <c r="N119" s="44"/>
      <c r="O119" s="45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155"/>
      <c r="K120" s="42"/>
      <c r="L120" s="42"/>
      <c r="M120" s="43"/>
      <c r="N120" s="44"/>
      <c r="O120" s="45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155"/>
      <c r="K121" s="42"/>
      <c r="L121" s="42"/>
      <c r="M121" s="43"/>
      <c r="N121" s="44"/>
      <c r="O121" s="45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1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1"/>
      <c r="K123" s="42"/>
      <c r="L123" s="42"/>
      <c r="M123" s="43"/>
      <c r="N123" s="44"/>
      <c r="O123" s="45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1"/>
      <c r="K124" s="42"/>
      <c r="L124" s="42"/>
      <c r="M124" s="43"/>
      <c r="N124" s="44"/>
      <c r="O124" s="45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1"/>
      <c r="K125" s="42"/>
      <c r="L125" s="42"/>
      <c r="M125" s="43"/>
      <c r="N125" s="44"/>
      <c r="O125" s="45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39:N45"/>
    <mergeCell ref="N48:N50"/>
    <mergeCell ref="N51:N53"/>
    <mergeCell ref="N54:N59"/>
    <mergeCell ref="L66:L67"/>
    <mergeCell ref="A68:J68"/>
    <mergeCell ref="L71:L74"/>
    <mergeCell ref="A75:J75"/>
    <mergeCell ref="A98:A100"/>
    <mergeCell ref="A101:A103"/>
    <mergeCell ref="A104:A108"/>
    <mergeCell ref="A110:A112"/>
    <mergeCell ref="A39:A45"/>
    <mergeCell ref="A48:A50"/>
    <mergeCell ref="A51:A53"/>
    <mergeCell ref="A54:A59"/>
    <mergeCell ref="A66:A67"/>
    <mergeCell ref="B66:B67"/>
    <mergeCell ref="A90:A96"/>
    <mergeCell ref="L104:L108"/>
    <mergeCell ref="L110:L112"/>
    <mergeCell ref="A85:N85"/>
    <mergeCell ref="M86:N86"/>
    <mergeCell ref="A88:A89"/>
    <mergeCell ref="L88:L89"/>
    <mergeCell ref="L90:L96"/>
    <mergeCell ref="L98:L100"/>
    <mergeCell ref="L101:L10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616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485</v>
      </c>
      <c r="B9" s="3"/>
      <c r="C9" s="31">
        <v>1.152071E7</v>
      </c>
      <c r="D9" s="47" t="s">
        <v>485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486</v>
      </c>
      <c r="B10" s="3"/>
      <c r="C10" s="31">
        <v>9877480.0</v>
      </c>
      <c r="D10" s="47" t="s">
        <v>486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19</v>
      </c>
      <c r="B11" s="3"/>
      <c r="C11" s="49">
        <v>2.139819E7</v>
      </c>
      <c r="D11" s="48" t="s">
        <v>19</v>
      </c>
      <c r="E11" s="3"/>
      <c r="F11" s="49">
        <v>1.274341E7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20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21</v>
      </c>
      <c r="B14" s="56" t="s">
        <v>617</v>
      </c>
      <c r="C14" s="56" t="s">
        <v>23</v>
      </c>
      <c r="D14" s="57" t="s">
        <v>24</v>
      </c>
      <c r="E14" s="56" t="s">
        <v>25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26</v>
      </c>
      <c r="B15" s="61">
        <f>SUMIF(F38:F50,"RED",M38:M50)</f>
        <v>8485700</v>
      </c>
      <c r="C15" s="61">
        <f>L59*C35</f>
        <v>0</v>
      </c>
      <c r="D15" s="61">
        <f>L66*D35</f>
        <v>0</v>
      </c>
      <c r="E15" s="61">
        <f>SUM(B15:D15)</f>
        <v>8485700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27</v>
      </c>
      <c r="B16" s="61">
        <f>SUMIF(F38:F50,"BLUE",M38:M50)</f>
        <v>1326780</v>
      </c>
      <c r="C16" s="62"/>
      <c r="D16" s="62"/>
      <c r="E16" s="61">
        <f t="shared" ref="E16:E18" si="1">SUM(B16:C16)</f>
        <v>1326780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28</v>
      </c>
      <c r="B17" s="61">
        <f>SUMIF(F38:F50,"OEM",M38:M50)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29</v>
      </c>
      <c r="B18" s="61">
        <f>SUMIF(F38:F50,"NO LOGO",M38:M50)</f>
        <v>65000</v>
      </c>
      <c r="C18" s="65"/>
      <c r="D18" s="65"/>
      <c r="E18" s="61">
        <f t="shared" si="1"/>
        <v>65000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618</v>
      </c>
      <c r="B19" s="66">
        <f>SUM(B15:B18)</f>
        <v>9877480</v>
      </c>
      <c r="C19" s="66">
        <f t="shared" ref="C19:D19" si="2">C15</f>
        <v>0</v>
      </c>
      <c r="D19" s="66">
        <f t="shared" si="2"/>
        <v>0</v>
      </c>
      <c r="E19" s="66">
        <f>SUM(E15:E18)</f>
        <v>9877480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31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21</v>
      </c>
      <c r="B22" s="56" t="s">
        <v>619</v>
      </c>
      <c r="C22" s="56" t="s">
        <v>23</v>
      </c>
      <c r="D22" s="56" t="s">
        <v>25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26</v>
      </c>
      <c r="B23" s="61">
        <f>SUMIFS(K71:K137,O71:O137,"&lt;&gt;"&amp;"CONVUM",O71:O137,"&lt;&gt;"&amp;"MYOTOKU CHINA",F71:F137,"RED")</f>
        <v>0</v>
      </c>
      <c r="C23" s="61">
        <f>SUMIFS(K71:K137,O71:O137,"CONVUM",F71:F137,"RED")</f>
        <v>0</v>
      </c>
      <c r="D23" s="61">
        <f t="shared" ref="D23:D26" si="3">SUM(B23:C23)</f>
        <v>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27</v>
      </c>
      <c r="B24" s="61">
        <f>SUMIFS(K71:K137,O71:O137,"&lt;&gt;"&amp;"CONVUM",O71:O137,"&lt;&gt;"&amp;"MYOTOKU CHINA",F71:F137,"BLUE")</f>
        <v>3734000</v>
      </c>
      <c r="C24" s="62"/>
      <c r="D24" s="61">
        <f t="shared" si="3"/>
        <v>3734000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28</v>
      </c>
      <c r="B25" s="61">
        <f>SUMIFS(K71:K137,O71:O137,"&lt;&gt;"&amp;"CONVUM",O71:O137,"&lt;&gt;"&amp;"MYOTOKU CHINA",F71:F137,"OEM")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29</v>
      </c>
      <c r="B26" s="61">
        <f>SUMIFS(K71:K137,O71:O137,"&lt;&gt;"&amp;"CONVUM",O71:O137,"&lt;&gt;"&amp;"MYOTOKU CHINA",F71:F137,"NO LOGO")</f>
        <v>0</v>
      </c>
      <c r="C26" s="71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620</v>
      </c>
      <c r="B27" s="66">
        <f>SUM(B23:B26)</f>
        <v>3734000</v>
      </c>
      <c r="C27" s="66">
        <f>C23</f>
        <v>0</v>
      </c>
      <c r="D27" s="66">
        <f>SUM(D23:D26)</f>
        <v>3734000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621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21</v>
      </c>
      <c r="B30" s="56" t="s">
        <v>622</v>
      </c>
      <c r="C30" s="56" t="s">
        <v>23</v>
      </c>
      <c r="D30" s="57" t="s">
        <v>24</v>
      </c>
      <c r="E30" s="56" t="s">
        <v>25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36</v>
      </c>
      <c r="B31" s="61">
        <v>8.815324E7</v>
      </c>
      <c r="C31" s="61">
        <f>3868500*C35</f>
        <v>36259063.65</v>
      </c>
      <c r="D31" s="61">
        <f>0*D35</f>
        <v>0</v>
      </c>
      <c r="E31" s="61">
        <f t="shared" ref="E31:E33" si="4">SUM(B31:D31)</f>
        <v>124412303.7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37</v>
      </c>
      <c r="B32" s="61">
        <v>0.0</v>
      </c>
      <c r="C32" s="61">
        <f>3760000*C35</f>
        <v>35242104</v>
      </c>
      <c r="D32" s="61">
        <f>0*D35</f>
        <v>0</v>
      </c>
      <c r="E32" s="61">
        <f t="shared" si="4"/>
        <v>35242104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38</v>
      </c>
      <c r="B33" s="61">
        <v>1.9766798E8</v>
      </c>
      <c r="C33" s="61">
        <f>6926500*C35</f>
        <v>64921391.85</v>
      </c>
      <c r="D33" s="61">
        <v>0.0</v>
      </c>
      <c r="E33" s="61">
        <f t="shared" si="4"/>
        <v>262589371.9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623</v>
      </c>
      <c r="B34" s="66">
        <f t="shared" ref="B34:E34" si="5">SUM(B31:B33)</f>
        <v>285821220</v>
      </c>
      <c r="C34" s="66">
        <f t="shared" si="5"/>
        <v>136422559.5</v>
      </c>
      <c r="D34" s="66">
        <f t="shared" si="5"/>
        <v>0</v>
      </c>
      <c r="E34" s="66">
        <f t="shared" si="5"/>
        <v>422243779.5</v>
      </c>
      <c r="F34" s="43"/>
      <c r="G34" s="58"/>
      <c r="H34" s="43"/>
      <c r="I34" s="44"/>
      <c r="J34" s="42"/>
      <c r="K34" s="75" t="s">
        <v>40</v>
      </c>
      <c r="L34" s="75" t="s">
        <v>41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42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43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44</v>
      </c>
      <c r="B37" s="82" t="s">
        <v>45</v>
      </c>
      <c r="C37" s="82" t="s">
        <v>46</v>
      </c>
      <c r="D37" s="82" t="s">
        <v>47</v>
      </c>
      <c r="E37" s="82" t="s">
        <v>48</v>
      </c>
      <c r="F37" s="82" t="s">
        <v>49</v>
      </c>
      <c r="G37" s="82" t="s">
        <v>50</v>
      </c>
      <c r="H37" s="83" t="s">
        <v>51</v>
      </c>
      <c r="I37" s="82" t="s">
        <v>52</v>
      </c>
      <c r="J37" s="84" t="s">
        <v>53</v>
      </c>
      <c r="K37" s="86" t="s">
        <v>624</v>
      </c>
      <c r="L37" s="85" t="s">
        <v>55</v>
      </c>
      <c r="M37" s="86" t="s">
        <v>56</v>
      </c>
      <c r="N37" s="86" t="s">
        <v>57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135</v>
      </c>
      <c r="B38" s="149" t="s">
        <v>574</v>
      </c>
      <c r="C38" s="30" t="s">
        <v>98</v>
      </c>
      <c r="D38" s="30" t="s">
        <v>85</v>
      </c>
      <c r="E38" s="30" t="s">
        <v>62</v>
      </c>
      <c r="F38" s="87" t="s">
        <v>63</v>
      </c>
      <c r="G38" s="87" t="s">
        <v>272</v>
      </c>
      <c r="H38" s="87" t="s">
        <v>273</v>
      </c>
      <c r="I38" s="30"/>
      <c r="J38" s="35">
        <v>20.0</v>
      </c>
      <c r="K38" s="89" t="s">
        <v>40</v>
      </c>
      <c r="L38" s="90">
        <v>3940.0</v>
      </c>
      <c r="M38" s="31">
        <v>78800.0</v>
      </c>
      <c r="N38" s="91">
        <f>SUM(M38)</f>
        <v>78800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2" t="s">
        <v>201</v>
      </c>
      <c r="B39" s="30" t="s">
        <v>240</v>
      </c>
      <c r="C39" s="30" t="s">
        <v>98</v>
      </c>
      <c r="D39" s="30" t="s">
        <v>105</v>
      </c>
      <c r="E39" s="30" t="s">
        <v>70</v>
      </c>
      <c r="F39" s="87" t="s">
        <v>71</v>
      </c>
      <c r="G39" s="87" t="s">
        <v>243</v>
      </c>
      <c r="H39" s="87" t="s">
        <v>244</v>
      </c>
      <c r="I39" s="30"/>
      <c r="J39" s="35">
        <v>30.0</v>
      </c>
      <c r="K39" s="89" t="s">
        <v>41</v>
      </c>
      <c r="L39" s="90">
        <v>31350.0</v>
      </c>
      <c r="M39" s="31">
        <v>940500.0</v>
      </c>
      <c r="N39" s="93">
        <f>SUM(M39:M40)</f>
        <v>1767500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240</v>
      </c>
      <c r="C40" s="30" t="s">
        <v>98</v>
      </c>
      <c r="D40" s="30" t="s">
        <v>105</v>
      </c>
      <c r="E40" s="30" t="s">
        <v>70</v>
      </c>
      <c r="F40" s="87" t="s">
        <v>71</v>
      </c>
      <c r="G40" s="87" t="s">
        <v>241</v>
      </c>
      <c r="H40" s="87" t="s">
        <v>242</v>
      </c>
      <c r="I40" s="30"/>
      <c r="J40" s="35">
        <v>100.0</v>
      </c>
      <c r="K40" s="89" t="s">
        <v>41</v>
      </c>
      <c r="L40" s="90">
        <v>8270.0</v>
      </c>
      <c r="M40" s="31">
        <v>827000.0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82</v>
      </c>
      <c r="B41" s="30" t="s">
        <v>139</v>
      </c>
      <c r="C41" s="30" t="s">
        <v>140</v>
      </c>
      <c r="D41" s="30" t="s">
        <v>105</v>
      </c>
      <c r="E41" s="30" t="s">
        <v>70</v>
      </c>
      <c r="F41" s="87" t="s">
        <v>71</v>
      </c>
      <c r="G41" s="87" t="s">
        <v>268</v>
      </c>
      <c r="H41" s="87" t="s">
        <v>269</v>
      </c>
      <c r="I41" s="30"/>
      <c r="J41" s="35">
        <v>1.0</v>
      </c>
      <c r="K41" s="89" t="s">
        <v>40</v>
      </c>
      <c r="L41" s="90">
        <v>337900.0</v>
      </c>
      <c r="M41" s="31">
        <v>337900.0</v>
      </c>
      <c r="N41" s="91">
        <f t="shared" ref="N41:N42" si="6">SUM(M41)</f>
        <v>337900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279</v>
      </c>
      <c r="B42" s="30" t="s">
        <v>280</v>
      </c>
      <c r="C42" s="30" t="s">
        <v>67</v>
      </c>
      <c r="D42" s="30" t="s">
        <v>61</v>
      </c>
      <c r="E42" s="30" t="s">
        <v>70</v>
      </c>
      <c r="F42" s="87" t="s">
        <v>71</v>
      </c>
      <c r="G42" s="87" t="s">
        <v>285</v>
      </c>
      <c r="H42" s="87" t="s">
        <v>286</v>
      </c>
      <c r="I42" s="30"/>
      <c r="J42" s="35">
        <v>20.0</v>
      </c>
      <c r="K42" s="89" t="s">
        <v>40</v>
      </c>
      <c r="L42" s="90">
        <v>3270.0</v>
      </c>
      <c r="M42" s="31">
        <v>65400.0</v>
      </c>
      <c r="N42" s="91">
        <f t="shared" si="6"/>
        <v>65400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92" t="s">
        <v>96</v>
      </c>
      <c r="B43" s="30" t="s">
        <v>625</v>
      </c>
      <c r="C43" s="30" t="s">
        <v>172</v>
      </c>
      <c r="D43" s="30" t="s">
        <v>61</v>
      </c>
      <c r="E43" s="30" t="s">
        <v>70</v>
      </c>
      <c r="F43" s="87" t="s">
        <v>71</v>
      </c>
      <c r="G43" s="87" t="s">
        <v>626</v>
      </c>
      <c r="H43" s="87" t="s">
        <v>627</v>
      </c>
      <c r="I43" s="30"/>
      <c r="J43" s="35">
        <v>6.0</v>
      </c>
      <c r="K43" s="89" t="s">
        <v>40</v>
      </c>
      <c r="L43" s="90">
        <v>271500.0</v>
      </c>
      <c r="M43" s="31">
        <v>1629000.0</v>
      </c>
      <c r="N43" s="93">
        <f>SUM(M43:M44)</f>
        <v>1639680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605</v>
      </c>
      <c r="C44" s="30" t="s">
        <v>98</v>
      </c>
      <c r="D44" s="30" t="s">
        <v>85</v>
      </c>
      <c r="E44" s="30" t="s">
        <v>62</v>
      </c>
      <c r="F44" s="87" t="s">
        <v>63</v>
      </c>
      <c r="G44" s="87" t="s">
        <v>606</v>
      </c>
      <c r="H44" s="87" t="s">
        <v>607</v>
      </c>
      <c r="I44" s="30"/>
      <c r="J44" s="35">
        <v>6.0</v>
      </c>
      <c r="K44" s="89" t="s">
        <v>40</v>
      </c>
      <c r="L44" s="90">
        <v>1780.0</v>
      </c>
      <c r="M44" s="31">
        <v>10680.0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92" t="s">
        <v>99</v>
      </c>
      <c r="B45" s="149" t="s">
        <v>628</v>
      </c>
      <c r="C45" s="30" t="s">
        <v>67</v>
      </c>
      <c r="D45" s="30" t="s">
        <v>61</v>
      </c>
      <c r="E45" s="30" t="s">
        <v>70</v>
      </c>
      <c r="F45" s="87" t="s">
        <v>71</v>
      </c>
      <c r="G45" s="87" t="s">
        <v>422</v>
      </c>
      <c r="H45" s="87" t="s">
        <v>423</v>
      </c>
      <c r="I45" s="30"/>
      <c r="J45" s="35">
        <v>100.0</v>
      </c>
      <c r="K45" s="89" t="s">
        <v>41</v>
      </c>
      <c r="L45" s="90">
        <v>46500.0</v>
      </c>
      <c r="M45" s="31">
        <v>4650000.0</v>
      </c>
      <c r="N45" s="93">
        <f>SUM(M45:M46)</f>
        <v>4715000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1"/>
      <c r="B46" s="149" t="s">
        <v>628</v>
      </c>
      <c r="C46" s="30" t="s">
        <v>67</v>
      </c>
      <c r="D46" s="30" t="s">
        <v>61</v>
      </c>
      <c r="E46" s="30" t="s">
        <v>70</v>
      </c>
      <c r="F46" s="87" t="s">
        <v>29</v>
      </c>
      <c r="G46" s="87" t="s">
        <v>629</v>
      </c>
      <c r="H46" s="87" t="s">
        <v>630</v>
      </c>
      <c r="I46" s="30"/>
      <c r="J46" s="35">
        <v>50.0</v>
      </c>
      <c r="K46" s="89" t="s">
        <v>41</v>
      </c>
      <c r="L46" s="90">
        <v>1300.0</v>
      </c>
      <c r="M46" s="31">
        <v>65000.0</v>
      </c>
      <c r="N46" s="7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175</v>
      </c>
      <c r="B47" s="30" t="s">
        <v>176</v>
      </c>
      <c r="C47" s="30" t="s">
        <v>177</v>
      </c>
      <c r="D47" s="30" t="s">
        <v>148</v>
      </c>
      <c r="E47" s="30" t="s">
        <v>185</v>
      </c>
      <c r="F47" s="87" t="s">
        <v>63</v>
      </c>
      <c r="G47" s="87" t="s">
        <v>546</v>
      </c>
      <c r="H47" s="87" t="s">
        <v>547</v>
      </c>
      <c r="I47" s="30"/>
      <c r="J47" s="35">
        <v>140.0</v>
      </c>
      <c r="K47" s="89" t="s">
        <v>40</v>
      </c>
      <c r="L47" s="90">
        <v>8420.0</v>
      </c>
      <c r="M47" s="31">
        <v>1178800.0</v>
      </c>
      <c r="N47" s="91">
        <f>SUM(M47)</f>
        <v>1178800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2" t="s">
        <v>182</v>
      </c>
      <c r="B48" s="30" t="s">
        <v>339</v>
      </c>
      <c r="C48" s="30" t="s">
        <v>340</v>
      </c>
      <c r="D48" s="30" t="s">
        <v>61</v>
      </c>
      <c r="E48" s="30" t="s">
        <v>62</v>
      </c>
      <c r="F48" s="87" t="s">
        <v>63</v>
      </c>
      <c r="G48" s="87" t="s">
        <v>614</v>
      </c>
      <c r="H48" s="87" t="s">
        <v>615</v>
      </c>
      <c r="I48" s="30"/>
      <c r="J48" s="35">
        <v>10.0</v>
      </c>
      <c r="K48" s="89" t="s">
        <v>40</v>
      </c>
      <c r="L48" s="90">
        <v>5850.0</v>
      </c>
      <c r="M48" s="31">
        <v>58500.0</v>
      </c>
      <c r="N48" s="93">
        <f>SUM(M48:M50)</f>
        <v>94400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479</v>
      </c>
      <c r="C49" s="30" t="s">
        <v>101</v>
      </c>
      <c r="D49" s="30" t="s">
        <v>61</v>
      </c>
      <c r="E49" s="30" t="s">
        <v>62</v>
      </c>
      <c r="F49" s="87" t="s">
        <v>71</v>
      </c>
      <c r="G49" s="87" t="s">
        <v>480</v>
      </c>
      <c r="H49" s="172" t="s">
        <v>481</v>
      </c>
      <c r="I49" s="30"/>
      <c r="J49" s="35">
        <v>1.0</v>
      </c>
      <c r="K49" s="89" t="s">
        <v>41</v>
      </c>
      <c r="L49" s="90">
        <v>34900.0</v>
      </c>
      <c r="M49" s="31">
        <v>34900.0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479</v>
      </c>
      <c r="C50" s="30" t="s">
        <v>101</v>
      </c>
      <c r="D50" s="30" t="s">
        <v>61</v>
      </c>
      <c r="E50" s="30" t="s">
        <v>62</v>
      </c>
      <c r="F50" s="87" t="s">
        <v>71</v>
      </c>
      <c r="G50" s="87" t="s">
        <v>482</v>
      </c>
      <c r="H50" s="87" t="s">
        <v>483</v>
      </c>
      <c r="I50" s="30"/>
      <c r="J50" s="35">
        <v>1.0</v>
      </c>
      <c r="K50" s="89" t="s">
        <v>41</v>
      </c>
      <c r="L50" s="90">
        <v>1000.0</v>
      </c>
      <c r="M50" s="31">
        <v>1000.0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0" customHeight="1">
      <c r="A51" s="95" t="str">
        <f>MID(CELL("filename",$A$1),FIND("]",CELL("filename",$A$1))+1,100)&amp;" TOTAL"</f>
        <v>#VALUE!</v>
      </c>
      <c r="B51" s="96"/>
      <c r="C51" s="96"/>
      <c r="D51" s="96"/>
      <c r="E51" s="96"/>
      <c r="F51" s="96"/>
      <c r="G51" s="97"/>
      <c r="H51" s="97"/>
      <c r="I51" s="96"/>
      <c r="J51" s="96"/>
      <c r="K51" s="98"/>
      <c r="L51" s="99"/>
      <c r="M51" s="66">
        <f t="shared" ref="M51:N51" si="7">SUM(M38:M50)</f>
        <v>9877480</v>
      </c>
      <c r="N51" s="100">
        <f t="shared" si="7"/>
        <v>9877480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101"/>
      <c r="B52" s="102"/>
      <c r="C52" s="102"/>
      <c r="D52" s="102"/>
      <c r="E52" s="102"/>
      <c r="F52" s="102"/>
      <c r="G52" s="102"/>
      <c r="H52" s="103"/>
      <c r="I52" s="102"/>
      <c r="J52" s="102"/>
      <c r="K52" s="102"/>
      <c r="L52" s="104"/>
      <c r="M52" s="105"/>
      <c r="N52" s="104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0.25" customHeight="1">
      <c r="A53" s="101" t="s">
        <v>109</v>
      </c>
      <c r="B53" s="106"/>
      <c r="C53" s="107"/>
      <c r="D53" s="107"/>
      <c r="E53" s="107"/>
      <c r="F53" s="107"/>
      <c r="G53" s="107"/>
      <c r="H53" s="108"/>
      <c r="I53" s="107"/>
      <c r="J53" s="107"/>
      <c r="K53" s="43"/>
      <c r="L53" s="109"/>
      <c r="M53" s="43"/>
      <c r="N53" s="109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1"/>
      <c r="B54" s="106"/>
      <c r="C54" s="107"/>
      <c r="D54" s="107"/>
      <c r="E54" s="107"/>
      <c r="F54" s="107"/>
      <c r="G54" s="107"/>
      <c r="H54" s="108"/>
      <c r="I54" s="107"/>
      <c r="J54" s="107"/>
      <c r="K54" s="43"/>
      <c r="L54" s="109"/>
      <c r="M54" s="43"/>
      <c r="N54" s="109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10" t="s">
        <v>110</v>
      </c>
      <c r="B55" s="67"/>
      <c r="C55" s="67"/>
      <c r="D55" s="101"/>
      <c r="E55" s="67"/>
      <c r="F55" s="67"/>
      <c r="G55" s="67"/>
      <c r="H55" s="111"/>
      <c r="I55" s="112"/>
      <c r="J55" s="112"/>
      <c r="K55" s="112"/>
      <c r="L55" s="112"/>
      <c r="M55" s="68"/>
      <c r="N55" s="113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57" t="s">
        <v>44</v>
      </c>
      <c r="B56" s="57" t="s">
        <v>45</v>
      </c>
      <c r="C56" s="57" t="s">
        <v>46</v>
      </c>
      <c r="D56" s="57" t="s">
        <v>631</v>
      </c>
      <c r="E56" s="57" t="s">
        <v>48</v>
      </c>
      <c r="F56" s="57" t="s">
        <v>112</v>
      </c>
      <c r="G56" s="57" t="s">
        <v>50</v>
      </c>
      <c r="H56" s="57" t="s">
        <v>51</v>
      </c>
      <c r="I56" s="57" t="s">
        <v>53</v>
      </c>
      <c r="J56" s="57" t="s">
        <v>113</v>
      </c>
      <c r="K56" s="57" t="s">
        <v>114</v>
      </c>
      <c r="L56" s="114" t="s">
        <v>115</v>
      </c>
      <c r="M56" s="114" t="s">
        <v>116</v>
      </c>
      <c r="N56" s="58"/>
      <c r="O56" s="115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6.5" hidden="1" customHeight="1">
      <c r="A57" s="92"/>
      <c r="B57" s="117"/>
      <c r="C57" s="88"/>
      <c r="D57" s="30"/>
      <c r="E57" s="30"/>
      <c r="F57" s="87"/>
      <c r="G57" s="87"/>
      <c r="H57" s="87"/>
      <c r="I57" s="34"/>
      <c r="J57" s="118"/>
      <c r="K57" s="118"/>
      <c r="L57" s="119"/>
      <c r="M57" s="120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71"/>
      <c r="B58" s="71"/>
      <c r="C58" s="88"/>
      <c r="D58" s="30"/>
      <c r="E58" s="30"/>
      <c r="F58" s="87"/>
      <c r="G58" s="87"/>
      <c r="H58" s="87"/>
      <c r="I58" s="31"/>
      <c r="J58" s="118"/>
      <c r="K58" s="118"/>
      <c r="L58" s="64"/>
      <c r="M58" s="120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21" t="str">
        <f>A51</f>
        <v>#VALUE!</v>
      </c>
      <c r="B59" s="2"/>
      <c r="C59" s="2"/>
      <c r="D59" s="2"/>
      <c r="E59" s="2"/>
      <c r="F59" s="2"/>
      <c r="G59" s="2"/>
      <c r="H59" s="2"/>
      <c r="I59" s="2"/>
      <c r="J59" s="3"/>
      <c r="K59" s="122">
        <f>SUM(K57:K58)</f>
        <v>0</v>
      </c>
      <c r="L59" s="123">
        <f>SUM(L57)</f>
        <v>0</v>
      </c>
      <c r="M59" s="56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01"/>
      <c r="B60" s="67"/>
      <c r="C60" s="67"/>
      <c r="D60" s="101"/>
      <c r="E60" s="67"/>
      <c r="F60" s="67"/>
      <c r="G60" s="67"/>
      <c r="H60" s="111"/>
      <c r="I60" s="112"/>
      <c r="J60" s="112"/>
      <c r="K60" s="112"/>
      <c r="L60" s="112"/>
      <c r="M60" s="68"/>
      <c r="N60" s="113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44</v>
      </c>
      <c r="B61" s="57" t="s">
        <v>45</v>
      </c>
      <c r="C61" s="57" t="s">
        <v>46</v>
      </c>
      <c r="D61" s="57" t="s">
        <v>632</v>
      </c>
      <c r="E61" s="57" t="s">
        <v>48</v>
      </c>
      <c r="F61" s="57" t="s">
        <v>118</v>
      </c>
      <c r="G61" s="57" t="s">
        <v>50</v>
      </c>
      <c r="H61" s="57" t="s">
        <v>51</v>
      </c>
      <c r="I61" s="114" t="s">
        <v>53</v>
      </c>
      <c r="J61" s="114" t="s">
        <v>119</v>
      </c>
      <c r="K61" s="124" t="s">
        <v>120</v>
      </c>
      <c r="L61" s="125" t="s">
        <v>121</v>
      </c>
      <c r="M61" s="124" t="s">
        <v>116</v>
      </c>
      <c r="N61" s="58"/>
      <c r="O61" s="115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6.5" hidden="1" customHeight="1">
      <c r="A62" s="92"/>
      <c r="B62" s="156"/>
      <c r="C62" s="157"/>
      <c r="D62" s="158"/>
      <c r="E62" s="30"/>
      <c r="F62" s="87"/>
      <c r="G62" s="159"/>
      <c r="H62" s="159"/>
      <c r="I62" s="160"/>
      <c r="J62" s="161"/>
      <c r="K62" s="162"/>
      <c r="L62" s="163"/>
      <c r="M62" s="164"/>
      <c r="N62" s="58"/>
      <c r="O62" s="115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6.5" hidden="1" customHeight="1">
      <c r="A63" s="145"/>
      <c r="B63" s="165"/>
      <c r="C63" s="157"/>
      <c r="D63" s="158"/>
      <c r="E63" s="30"/>
      <c r="F63" s="87"/>
      <c r="G63" s="166"/>
      <c r="H63" s="167"/>
      <c r="I63" s="161"/>
      <c r="J63" s="161"/>
      <c r="K63" s="161"/>
      <c r="L63" s="168"/>
      <c r="M63" s="164"/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145"/>
      <c r="B64" s="165"/>
      <c r="C64" s="157"/>
      <c r="D64" s="158"/>
      <c r="E64" s="30"/>
      <c r="F64" s="87"/>
      <c r="G64" s="166"/>
      <c r="H64" s="167"/>
      <c r="I64" s="161"/>
      <c r="J64" s="161"/>
      <c r="K64" s="161"/>
      <c r="L64" s="168"/>
      <c r="M64" s="164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46"/>
      <c r="B65" s="169"/>
      <c r="C65" s="157"/>
      <c r="D65" s="158"/>
      <c r="E65" s="30"/>
      <c r="F65" s="87"/>
      <c r="G65" s="166"/>
      <c r="H65" s="167"/>
      <c r="I65" s="161"/>
      <c r="J65" s="161"/>
      <c r="K65" s="161"/>
      <c r="L65" s="170"/>
      <c r="M65" s="164"/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129" t="str">
        <f>A51</f>
        <v>#VALUE!</v>
      </c>
      <c r="B66" s="80"/>
      <c r="C66" s="80"/>
      <c r="D66" s="80"/>
      <c r="E66" s="80"/>
      <c r="F66" s="80"/>
      <c r="G66" s="80"/>
      <c r="H66" s="80"/>
      <c r="I66" s="80"/>
      <c r="J66" s="130"/>
      <c r="K66" s="131">
        <f>SUM(K62:K65)</f>
        <v>0</v>
      </c>
      <c r="L66" s="131">
        <f>SUM(L62)</f>
        <v>0</v>
      </c>
      <c r="M66" s="132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hidden="1" customHeight="1">
      <c r="A67" s="133"/>
      <c r="B67" s="134"/>
      <c r="C67" s="112"/>
      <c r="D67" s="112"/>
      <c r="E67" s="134"/>
      <c r="F67" s="134"/>
      <c r="G67" s="134"/>
      <c r="H67" s="111"/>
      <c r="I67" s="112"/>
      <c r="J67" s="112"/>
      <c r="K67" s="112"/>
      <c r="L67" s="112"/>
      <c r="M67" s="134"/>
      <c r="N67" s="113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0.75" hidden="1" customHeight="1">
      <c r="A68" s="133"/>
      <c r="B68" s="134"/>
      <c r="C68" s="112"/>
      <c r="D68" s="112"/>
      <c r="E68" s="134"/>
      <c r="F68" s="134"/>
      <c r="G68" s="134"/>
      <c r="H68" s="111"/>
      <c r="I68" s="112"/>
      <c r="J68" s="112"/>
      <c r="K68" s="112"/>
      <c r="L68" s="112"/>
      <c r="M68" s="134"/>
      <c r="N68" s="11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33"/>
      <c r="B69" s="134"/>
      <c r="C69" s="112"/>
      <c r="D69" s="112"/>
      <c r="E69" s="134"/>
      <c r="F69" s="134"/>
      <c r="G69" s="134"/>
      <c r="H69" s="111"/>
      <c r="I69" s="112"/>
      <c r="J69" s="112"/>
      <c r="K69" s="112"/>
      <c r="L69" s="112"/>
      <c r="M69" s="134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33"/>
      <c r="B70" s="134"/>
      <c r="C70" s="112"/>
      <c r="D70" s="112"/>
      <c r="E70" s="134"/>
      <c r="F70" s="134"/>
      <c r="G70" s="134"/>
      <c r="H70" s="111"/>
      <c r="I70" s="112"/>
      <c r="J70" s="112"/>
      <c r="K70" s="112"/>
      <c r="L70" s="112"/>
      <c r="M70" s="134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2" t="s">
        <v>633</v>
      </c>
      <c r="B71" s="135"/>
      <c r="C71" s="136"/>
      <c r="D71" s="136"/>
      <c r="E71" s="135"/>
      <c r="F71" s="136"/>
      <c r="G71" s="135"/>
      <c r="H71" s="137"/>
      <c r="I71" s="136"/>
      <c r="J71" s="136"/>
      <c r="K71" s="136"/>
      <c r="L71" s="136"/>
      <c r="M71" s="135"/>
      <c r="N71" s="138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2"/>
      <c r="B72" s="135"/>
      <c r="C72" s="136"/>
      <c r="D72" s="136"/>
      <c r="E72" s="135"/>
      <c r="F72" s="136"/>
      <c r="G72" s="135"/>
      <c r="H72" s="137"/>
      <c r="I72" s="136"/>
      <c r="J72" s="136"/>
      <c r="K72" s="136"/>
      <c r="L72" s="136"/>
      <c r="M72" s="135"/>
      <c r="N72" s="138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2"/>
      <c r="B73" s="135"/>
      <c r="C73" s="136"/>
      <c r="D73" s="136"/>
      <c r="E73" s="135"/>
      <c r="F73" s="136"/>
      <c r="G73" s="135"/>
      <c r="H73" s="137"/>
      <c r="I73" s="136"/>
      <c r="J73" s="136"/>
      <c r="K73" s="136"/>
      <c r="L73" s="136"/>
      <c r="M73" s="135"/>
      <c r="N73" s="138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35"/>
      <c r="C74" s="136"/>
      <c r="D74" s="136"/>
      <c r="E74" s="135"/>
      <c r="F74" s="136"/>
      <c r="G74" s="135"/>
      <c r="H74" s="137"/>
      <c r="I74" s="136"/>
      <c r="J74" s="136"/>
      <c r="K74" s="136"/>
      <c r="L74" s="136"/>
      <c r="M74" s="135"/>
      <c r="N74" s="138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112"/>
      <c r="B75" s="135"/>
      <c r="C75" s="136"/>
      <c r="D75" s="136"/>
      <c r="E75" s="135"/>
      <c r="F75" s="136"/>
      <c r="G75" s="135"/>
      <c r="H75" s="137"/>
      <c r="I75" s="136"/>
      <c r="J75" s="136"/>
      <c r="K75" s="136"/>
      <c r="L75" s="136"/>
      <c r="M75" s="135"/>
      <c r="N75" s="138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customHeight="1">
      <c r="A76" s="79" t="s">
        <v>123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1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56" t="s">
        <v>44</v>
      </c>
      <c r="B77" s="56" t="s">
        <v>45</v>
      </c>
      <c r="C77" s="56" t="s">
        <v>46</v>
      </c>
      <c r="D77" s="56" t="s">
        <v>634</v>
      </c>
      <c r="E77" s="56" t="s">
        <v>48</v>
      </c>
      <c r="F77" s="56" t="s">
        <v>49</v>
      </c>
      <c r="G77" s="56" t="s">
        <v>50</v>
      </c>
      <c r="H77" s="57" t="s">
        <v>51</v>
      </c>
      <c r="I77" s="139" t="s">
        <v>53</v>
      </c>
      <c r="J77" s="139" t="s">
        <v>55</v>
      </c>
      <c r="K77" s="124" t="s">
        <v>125</v>
      </c>
      <c r="L77" s="125" t="s">
        <v>57</v>
      </c>
      <c r="M77" s="140" t="s">
        <v>116</v>
      </c>
      <c r="N77" s="3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92" t="s">
        <v>207</v>
      </c>
      <c r="B78" s="149" t="s">
        <v>208</v>
      </c>
      <c r="C78" s="30" t="s">
        <v>67</v>
      </c>
      <c r="D78" s="30" t="s">
        <v>105</v>
      </c>
      <c r="E78" s="30" t="s">
        <v>106</v>
      </c>
      <c r="F78" s="87" t="s">
        <v>63</v>
      </c>
      <c r="G78" s="87" t="s">
        <v>402</v>
      </c>
      <c r="H78" s="87" t="s">
        <v>403</v>
      </c>
      <c r="I78" s="31">
        <v>2300.0</v>
      </c>
      <c r="J78" s="34">
        <v>780.0</v>
      </c>
      <c r="K78" s="31">
        <v>1794000.0</v>
      </c>
      <c r="L78" s="93">
        <f>SUM(K78:K79)</f>
        <v>3734000</v>
      </c>
      <c r="M78" s="142"/>
      <c r="N78" s="143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71"/>
      <c r="B79" s="149" t="s">
        <v>208</v>
      </c>
      <c r="C79" s="30" t="s">
        <v>67</v>
      </c>
      <c r="D79" s="30" t="s">
        <v>105</v>
      </c>
      <c r="E79" s="30" t="s">
        <v>106</v>
      </c>
      <c r="F79" s="87" t="s">
        <v>63</v>
      </c>
      <c r="G79" s="87" t="s">
        <v>209</v>
      </c>
      <c r="H79" s="87" t="s">
        <v>210</v>
      </c>
      <c r="I79" s="31">
        <v>2000.0</v>
      </c>
      <c r="J79" s="34">
        <v>970.0</v>
      </c>
      <c r="K79" s="31">
        <v>1940000.0</v>
      </c>
      <c r="L79" s="64"/>
      <c r="M79" s="142"/>
      <c r="N79" s="143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145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74"/>
      <c r="M80" s="142"/>
      <c r="N80" s="143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145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174"/>
      <c r="M81" s="142"/>
      <c r="N81" s="143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145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174"/>
      <c r="M82" s="142"/>
      <c r="N82" s="143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45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74"/>
      <c r="M83" s="142"/>
      <c r="N83" s="143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145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174"/>
      <c r="M84" s="142"/>
      <c r="N84" s="143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45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74"/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145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7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146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75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1"/>
      <c r="M88" s="142"/>
      <c r="N88" s="143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hidden="1" customHeight="1">
      <c r="A89" s="92"/>
      <c r="B89" s="148"/>
      <c r="C89" s="30"/>
      <c r="D89" s="30"/>
      <c r="E89" s="30"/>
      <c r="F89" s="87"/>
      <c r="G89" s="87"/>
      <c r="H89" s="87"/>
      <c r="I89" s="34"/>
      <c r="J89" s="31"/>
      <c r="K89" s="31"/>
      <c r="L89" s="93"/>
      <c r="M89" s="142"/>
      <c r="N89" s="143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71"/>
      <c r="B90" s="148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42"/>
      <c r="N90" s="143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7.25" customHeight="1">
      <c r="A91" s="150" t="str">
        <f>MID(CELL("filename",$A$1),FIND("]",CELL("filename",$A$1))+1,100)&amp;" TOTAL"</f>
        <v>#VALUE!</v>
      </c>
      <c r="B91" s="151"/>
      <c r="C91" s="151"/>
      <c r="D91" s="151"/>
      <c r="E91" s="151"/>
      <c r="F91" s="97"/>
      <c r="G91" s="97"/>
      <c r="H91" s="97"/>
      <c r="I91" s="151"/>
      <c r="J91" s="152"/>
      <c r="K91" s="100">
        <f t="shared" ref="K91:L91" si="8">SUM(K78:K90)</f>
        <v>3734000</v>
      </c>
      <c r="L91" s="100">
        <f t="shared" si="8"/>
        <v>3734000</v>
      </c>
      <c r="M91" s="153"/>
      <c r="N91" s="154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0"/>
      <c r="B92" s="40"/>
      <c r="C92" s="46"/>
      <c r="D92" s="46"/>
      <c r="E92" s="40"/>
      <c r="F92" s="40"/>
      <c r="G92" s="40"/>
      <c r="H92" s="55"/>
      <c r="I92" s="42"/>
      <c r="J92" s="42"/>
      <c r="K92" s="42"/>
      <c r="L92" s="42"/>
      <c r="M92" s="43"/>
      <c r="N92" s="44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0"/>
      <c r="B93" s="40"/>
      <c r="C93" s="46"/>
      <c r="D93" s="46"/>
      <c r="E93" s="40"/>
      <c r="F93" s="40"/>
      <c r="G93" s="40"/>
      <c r="H93" s="55"/>
      <c r="I93" s="42"/>
      <c r="J93" s="42"/>
      <c r="K93" s="42"/>
      <c r="L93" s="42"/>
      <c r="M93" s="43"/>
      <c r="N93" s="44"/>
      <c r="O93" s="45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3.5" customHeight="1">
      <c r="A94" s="40"/>
      <c r="B94" s="40"/>
      <c r="C94" s="46"/>
      <c r="D94" s="46"/>
      <c r="E94" s="40"/>
      <c r="F94" s="40"/>
      <c r="G94" s="40"/>
      <c r="H94" s="55"/>
      <c r="I94" s="42"/>
      <c r="J94" s="42"/>
      <c r="K94" s="42"/>
      <c r="L94" s="42"/>
      <c r="M94" s="43"/>
      <c r="N94" s="44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0"/>
      <c r="B95" s="40"/>
      <c r="C95" s="46"/>
      <c r="D95" s="46"/>
      <c r="E95" s="40"/>
      <c r="F95" s="40"/>
      <c r="G95" s="40"/>
      <c r="H95" s="55"/>
      <c r="I95" s="42"/>
      <c r="J95" s="42"/>
      <c r="K95" s="42"/>
      <c r="L95" s="42"/>
      <c r="M95" s="43"/>
      <c r="N95" s="44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0"/>
      <c r="B96" s="40"/>
      <c r="C96" s="46"/>
      <c r="D96" s="46"/>
      <c r="E96" s="40"/>
      <c r="F96" s="40"/>
      <c r="G96" s="40"/>
      <c r="H96" s="55"/>
      <c r="I96" s="42"/>
      <c r="J96" s="42"/>
      <c r="K96" s="42"/>
      <c r="L96" s="42"/>
      <c r="M96" s="43"/>
      <c r="N96" s="44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0"/>
      <c r="B97" s="40"/>
      <c r="C97" s="46"/>
      <c r="D97" s="46"/>
      <c r="E97" s="40"/>
      <c r="F97" s="40"/>
      <c r="G97" s="40"/>
      <c r="H97" s="70"/>
      <c r="I97" s="42"/>
      <c r="J97" s="42"/>
      <c r="K97" s="42"/>
      <c r="L97" s="42"/>
      <c r="M97" s="43"/>
      <c r="N97" s="44"/>
      <c r="O97" s="45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0"/>
      <c r="B98" s="40"/>
      <c r="C98" s="46"/>
      <c r="D98" s="46"/>
      <c r="E98" s="40"/>
      <c r="F98" s="40"/>
      <c r="G98" s="40"/>
      <c r="H98" s="55"/>
      <c r="I98" s="42"/>
      <c r="J98" s="155"/>
      <c r="K98" s="42"/>
      <c r="L98" s="42"/>
      <c r="M98" s="43"/>
      <c r="N98" s="44"/>
      <c r="O98" s="45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0"/>
      <c r="B99" s="40"/>
      <c r="C99" s="46"/>
      <c r="D99" s="46"/>
      <c r="E99" s="40"/>
      <c r="F99" s="40"/>
      <c r="G99" s="40"/>
      <c r="H99" s="55"/>
      <c r="I99" s="42"/>
      <c r="J99" s="155"/>
      <c r="K99" s="42"/>
      <c r="L99" s="42"/>
      <c r="M99" s="43"/>
      <c r="N99" s="44"/>
      <c r="O99" s="45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1"/>
      <c r="K100" s="42"/>
      <c r="L100" s="42"/>
      <c r="M100" s="43"/>
      <c r="N100" s="44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1"/>
      <c r="K101" s="42"/>
      <c r="L101" s="42"/>
      <c r="M101" s="43"/>
      <c r="N101" s="44"/>
      <c r="O101" s="45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1"/>
      <c r="K102" s="42"/>
      <c r="L102" s="42"/>
      <c r="M102" s="43"/>
      <c r="N102" s="44"/>
      <c r="O102" s="45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1"/>
      <c r="K103" s="42"/>
      <c r="L103" s="42"/>
      <c r="M103" s="43"/>
      <c r="N103" s="44"/>
      <c r="O103" s="45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2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2"/>
      <c r="K108" s="42"/>
      <c r="L108" s="42"/>
      <c r="M108" s="43"/>
      <c r="N108" s="44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2"/>
      <c r="K109" s="42"/>
      <c r="L109" s="42"/>
      <c r="M109" s="43"/>
      <c r="N109" s="44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2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5"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N43:N44"/>
    <mergeCell ref="N45:N46"/>
    <mergeCell ref="N48:N50"/>
    <mergeCell ref="L57:L58"/>
    <mergeCell ref="L62:L65"/>
    <mergeCell ref="D9:E9"/>
    <mergeCell ref="D10:E10"/>
    <mergeCell ref="C16:C18"/>
    <mergeCell ref="D16:D18"/>
    <mergeCell ref="C24:C26"/>
    <mergeCell ref="A36:N36"/>
    <mergeCell ref="N39:N40"/>
    <mergeCell ref="A66:J66"/>
    <mergeCell ref="A76:N76"/>
    <mergeCell ref="M77:N77"/>
    <mergeCell ref="A78:A79"/>
    <mergeCell ref="L78:L79"/>
    <mergeCell ref="A89:A90"/>
    <mergeCell ref="L89:L90"/>
    <mergeCell ref="A39:A40"/>
    <mergeCell ref="A43:A44"/>
    <mergeCell ref="A45:A46"/>
    <mergeCell ref="A48:A50"/>
    <mergeCell ref="A57:A58"/>
    <mergeCell ref="B57:B58"/>
    <mergeCell ref="A59:J59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635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485</v>
      </c>
      <c r="B9" s="3"/>
      <c r="C9" s="31">
        <v>1.152071E7</v>
      </c>
      <c r="D9" s="47" t="s">
        <v>485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8" t="s">
        <v>19</v>
      </c>
      <c r="B10" s="3"/>
      <c r="C10" s="49">
        <v>1.152071E7</v>
      </c>
      <c r="D10" s="48" t="s">
        <v>19</v>
      </c>
      <c r="E10" s="3"/>
      <c r="F10" s="49">
        <v>9009410.0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50"/>
      <c r="B11" s="50"/>
      <c r="C11" s="51"/>
      <c r="D11" s="50"/>
      <c r="E11" s="50"/>
      <c r="F11" s="51"/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52" t="s">
        <v>20</v>
      </c>
      <c r="B12" s="40"/>
      <c r="C12" s="46"/>
      <c r="D12" s="46"/>
      <c r="E12" s="40"/>
      <c r="F12" s="53"/>
      <c r="G12" s="54"/>
      <c r="H12" s="55"/>
      <c r="I12" s="42"/>
      <c r="J12" s="42"/>
      <c r="K12" s="42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56" t="s">
        <v>21</v>
      </c>
      <c r="B13" s="56" t="s">
        <v>636</v>
      </c>
      <c r="C13" s="56" t="s">
        <v>23</v>
      </c>
      <c r="D13" s="57" t="s">
        <v>24</v>
      </c>
      <c r="E13" s="56" t="s">
        <v>25</v>
      </c>
      <c r="F13" s="43"/>
      <c r="G13" s="58"/>
      <c r="H13" s="43"/>
      <c r="I13" s="44"/>
      <c r="J13" s="44"/>
      <c r="K13" s="42"/>
      <c r="L13" s="43"/>
      <c r="M13" s="44"/>
      <c r="N13" s="5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60" t="s">
        <v>26</v>
      </c>
      <c r="B14" s="61">
        <f>SUMIF(F37:F57,"RED",M37:M57)</f>
        <v>2304580</v>
      </c>
      <c r="C14" s="61">
        <f>L66*C34</f>
        <v>3614190.24</v>
      </c>
      <c r="D14" s="61">
        <f>L73*D34</f>
        <v>0</v>
      </c>
      <c r="E14" s="61">
        <f>SUM(B14:D14)</f>
        <v>5918770.24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27</v>
      </c>
      <c r="B15" s="61">
        <f>SUMIF(F37:F57,"BLUE",M37:M57)</f>
        <v>6723930</v>
      </c>
      <c r="C15" s="62"/>
      <c r="D15" s="62"/>
      <c r="E15" s="61">
        <f t="shared" ref="E15:E17" si="1">SUM(B15:C15)</f>
        <v>6723930</v>
      </c>
      <c r="F15" s="43"/>
      <c r="G15" s="58"/>
      <c r="H15" s="43"/>
      <c r="I15" s="44"/>
      <c r="J15" s="44"/>
      <c r="K15" s="44"/>
      <c r="L15" s="43"/>
      <c r="M15" s="44"/>
      <c r="N15" s="6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60" t="s">
        <v>28</v>
      </c>
      <c r="B16" s="61">
        <f>SUMIF(F37:F57,"OEM",M37:M57)</f>
        <v>337000</v>
      </c>
      <c r="C16" s="64"/>
      <c r="D16" s="64"/>
      <c r="E16" s="61">
        <f t="shared" si="1"/>
        <v>337000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29</v>
      </c>
      <c r="B17" s="61">
        <f>SUMIF(F37:F57,"NO LOGO",M37:M57)</f>
        <v>2155200</v>
      </c>
      <c r="C17" s="65"/>
      <c r="D17" s="65"/>
      <c r="E17" s="61">
        <f t="shared" si="1"/>
        <v>2155200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56" t="s">
        <v>637</v>
      </c>
      <c r="B18" s="66">
        <f>SUM(B14:B17)</f>
        <v>11520710</v>
      </c>
      <c r="C18" s="66">
        <f t="shared" ref="C18:D18" si="2">C14</f>
        <v>3614190.24</v>
      </c>
      <c r="D18" s="66">
        <f t="shared" si="2"/>
        <v>0</v>
      </c>
      <c r="E18" s="66">
        <f>SUM(E14:E17)</f>
        <v>15134900.24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7"/>
      <c r="B19" s="68"/>
      <c r="C19" s="68"/>
      <c r="D19" s="68"/>
      <c r="E19" s="43"/>
      <c r="F19" s="69"/>
      <c r="G19" s="43"/>
      <c r="H19" s="43"/>
      <c r="I19" s="44"/>
      <c r="J19" s="44"/>
      <c r="K19" s="43"/>
      <c r="L19" s="44"/>
      <c r="M19" s="6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2" t="s">
        <v>31</v>
      </c>
      <c r="B20" s="40"/>
      <c r="C20" s="46"/>
      <c r="D20" s="46"/>
      <c r="E20" s="43"/>
      <c r="F20" s="69"/>
      <c r="G20" s="43"/>
      <c r="H20" s="43"/>
      <c r="I20" s="42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21</v>
      </c>
      <c r="B21" s="56" t="s">
        <v>638</v>
      </c>
      <c r="C21" s="56" t="s">
        <v>23</v>
      </c>
      <c r="D21" s="56" t="s">
        <v>25</v>
      </c>
      <c r="E21" s="43"/>
      <c r="F21" s="69"/>
      <c r="G21" s="43"/>
      <c r="H21" s="43"/>
      <c r="I21" s="44"/>
      <c r="J21" s="44"/>
      <c r="K21" s="70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26</v>
      </c>
      <c r="B22" s="61">
        <f>SUMIFS(K78:K176,O78:O176,"&lt;&gt;"&amp;"CONVUM",O78:O176,"&lt;&gt;"&amp;"MYOTOKU CHINA",F78:F176,"RED")</f>
        <v>320900</v>
      </c>
      <c r="C22" s="61">
        <f>SUMIFS(K78:K176,O78:O176,"CONVUM",F78:F176,"RED")</f>
        <v>0</v>
      </c>
      <c r="D22" s="61">
        <f t="shared" ref="D22:D25" si="3">SUM(B22:C22)</f>
        <v>320900</v>
      </c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27</v>
      </c>
      <c r="B23" s="61">
        <f>SUMIFS(K78:K176,O78:O176,"&lt;&gt;"&amp;"CONVUM",O78:O176,"&lt;&gt;"&amp;"MYOTOKU CHINA",F78:F176,"BLUE")</f>
        <v>8688510</v>
      </c>
      <c r="C23" s="62"/>
      <c r="D23" s="61">
        <f t="shared" si="3"/>
        <v>8688510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28</v>
      </c>
      <c r="B24" s="61">
        <f>SUMIFS(K78:K176,O78:O176,"&lt;&gt;"&amp;"CONVUM",O78:O176,"&lt;&gt;"&amp;"MYOTOKU CHINA",F78:F176,"OEM")</f>
        <v>0</v>
      </c>
      <c r="C24" s="64"/>
      <c r="D24" s="61">
        <f t="shared" si="3"/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29</v>
      </c>
      <c r="B25" s="61">
        <f>SUMIFS(K78:K176,O78:O176,"&lt;&gt;"&amp;"CONVUM",O78:O176,"&lt;&gt;"&amp;"MYOTOKU CHINA",F78:F176,"NO LOGO")</f>
        <v>0</v>
      </c>
      <c r="C25" s="71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639</v>
      </c>
      <c r="B26" s="66">
        <f>SUM(B22:B25)</f>
        <v>9009410</v>
      </c>
      <c r="C26" s="66">
        <f>C22</f>
        <v>0</v>
      </c>
      <c r="D26" s="66">
        <f>SUM(D22:D25)</f>
        <v>9009410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7"/>
      <c r="B27" s="72"/>
      <c r="C27" s="72"/>
      <c r="D27" s="72"/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2" t="s">
        <v>640</v>
      </c>
      <c r="B28" s="73"/>
      <c r="C28" s="74"/>
      <c r="D28" s="73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21</v>
      </c>
      <c r="B29" s="56" t="s">
        <v>641</v>
      </c>
      <c r="C29" s="56" t="s">
        <v>23</v>
      </c>
      <c r="D29" s="57" t="s">
        <v>24</v>
      </c>
      <c r="E29" s="56" t="s">
        <v>25</v>
      </c>
      <c r="F29" s="43"/>
      <c r="G29" s="58"/>
      <c r="H29" s="43"/>
      <c r="I29" s="44"/>
      <c r="J29" s="44"/>
      <c r="K29" s="44"/>
      <c r="L29" s="43"/>
      <c r="M29" s="44"/>
      <c r="N29" s="6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36</v>
      </c>
      <c r="B30" s="61">
        <v>8.314738E7</v>
      </c>
      <c r="C30" s="61">
        <f>3868500*C34</f>
        <v>36259063.65</v>
      </c>
      <c r="D30" s="61">
        <f>0*D34</f>
        <v>0</v>
      </c>
      <c r="E30" s="61">
        <f t="shared" ref="E30:E32" si="4">SUM(B30:D30)</f>
        <v>119406443.7</v>
      </c>
      <c r="F30" s="43"/>
      <c r="G30" s="58"/>
      <c r="H30" s="43"/>
      <c r="I30" s="44"/>
      <c r="J30" s="44"/>
      <c r="K30" s="44"/>
      <c r="L30" s="43"/>
      <c r="M30" s="44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60" t="s">
        <v>37</v>
      </c>
      <c r="B31" s="61">
        <v>0.0</v>
      </c>
      <c r="C31" s="61">
        <f>3760000*C34</f>
        <v>35242104</v>
      </c>
      <c r="D31" s="61">
        <f>0*D34</f>
        <v>0</v>
      </c>
      <c r="E31" s="61">
        <f t="shared" si="4"/>
        <v>35242104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38</v>
      </c>
      <c r="B32" s="61">
        <v>1.9653036E8</v>
      </c>
      <c r="C32" s="61">
        <f>6926500*C34</f>
        <v>64921391.85</v>
      </c>
      <c r="D32" s="61">
        <v>0.0</v>
      </c>
      <c r="E32" s="61">
        <f t="shared" si="4"/>
        <v>261451751.9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56" t="s">
        <v>642</v>
      </c>
      <c r="B33" s="66">
        <f t="shared" ref="B33:E33" si="5">SUM(B30:B32)</f>
        <v>279677740</v>
      </c>
      <c r="C33" s="66">
        <f t="shared" si="5"/>
        <v>136422559.5</v>
      </c>
      <c r="D33" s="66">
        <f t="shared" si="5"/>
        <v>0</v>
      </c>
      <c r="E33" s="66">
        <f t="shared" si="5"/>
        <v>416100299.5</v>
      </c>
      <c r="F33" s="43"/>
      <c r="G33" s="58"/>
      <c r="H33" s="43"/>
      <c r="I33" s="44"/>
      <c r="J33" s="42"/>
      <c r="K33" s="75" t="s">
        <v>40</v>
      </c>
      <c r="L33" s="75" t="s">
        <v>41</v>
      </c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76"/>
      <c r="B34" s="54"/>
      <c r="C34" s="77">
        <v>9.3729</v>
      </c>
      <c r="D34" s="78">
        <v>1464.8</v>
      </c>
      <c r="E34" s="40"/>
      <c r="F34" s="40"/>
      <c r="G34" s="54"/>
      <c r="H34" s="55"/>
      <c r="I34" s="42"/>
      <c r="J34" s="44"/>
      <c r="K34" s="42"/>
      <c r="L34" s="42"/>
      <c r="M34" s="43" t="s">
        <v>42</v>
      </c>
      <c r="N34" s="44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9" t="s">
        <v>43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5.5" customHeight="1">
      <c r="A36" s="82" t="s">
        <v>44</v>
      </c>
      <c r="B36" s="82" t="s">
        <v>45</v>
      </c>
      <c r="C36" s="82" t="s">
        <v>46</v>
      </c>
      <c r="D36" s="82" t="s">
        <v>47</v>
      </c>
      <c r="E36" s="82" t="s">
        <v>48</v>
      </c>
      <c r="F36" s="82" t="s">
        <v>49</v>
      </c>
      <c r="G36" s="82" t="s">
        <v>50</v>
      </c>
      <c r="H36" s="83" t="s">
        <v>51</v>
      </c>
      <c r="I36" s="82" t="s">
        <v>52</v>
      </c>
      <c r="J36" s="84" t="s">
        <v>53</v>
      </c>
      <c r="K36" s="86" t="s">
        <v>643</v>
      </c>
      <c r="L36" s="85" t="s">
        <v>55</v>
      </c>
      <c r="M36" s="86" t="s">
        <v>56</v>
      </c>
      <c r="N36" s="86" t="s">
        <v>57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92" t="s">
        <v>570</v>
      </c>
      <c r="B37" s="30" t="s">
        <v>571</v>
      </c>
      <c r="C37" s="30" t="s">
        <v>67</v>
      </c>
      <c r="D37" s="30" t="s">
        <v>61</v>
      </c>
      <c r="E37" s="30" t="s">
        <v>62</v>
      </c>
      <c r="F37" s="87" t="s">
        <v>63</v>
      </c>
      <c r="G37" s="87" t="s">
        <v>346</v>
      </c>
      <c r="H37" s="87" t="s">
        <v>347</v>
      </c>
      <c r="I37" s="30"/>
      <c r="J37" s="35">
        <v>8.0</v>
      </c>
      <c r="K37" s="89" t="s">
        <v>40</v>
      </c>
      <c r="L37" s="90">
        <v>3150.0</v>
      </c>
      <c r="M37" s="31">
        <v>25200.0</v>
      </c>
      <c r="N37" s="93">
        <f>SUM(M37:M40)</f>
        <v>111040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64"/>
      <c r="B38" s="30" t="s">
        <v>571</v>
      </c>
      <c r="C38" s="30" t="s">
        <v>67</v>
      </c>
      <c r="D38" s="30" t="s">
        <v>61</v>
      </c>
      <c r="E38" s="30" t="s">
        <v>62</v>
      </c>
      <c r="F38" s="87" t="s">
        <v>63</v>
      </c>
      <c r="G38" s="87" t="s">
        <v>644</v>
      </c>
      <c r="H38" s="87" t="s">
        <v>645</v>
      </c>
      <c r="I38" s="30"/>
      <c r="J38" s="35">
        <v>8.0</v>
      </c>
      <c r="K38" s="89" t="s">
        <v>40</v>
      </c>
      <c r="L38" s="90">
        <v>3580.0</v>
      </c>
      <c r="M38" s="31">
        <v>28640.0</v>
      </c>
      <c r="N38" s="64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64"/>
      <c r="B39" s="30" t="s">
        <v>571</v>
      </c>
      <c r="C39" s="30" t="s">
        <v>67</v>
      </c>
      <c r="D39" s="30" t="s">
        <v>61</v>
      </c>
      <c r="E39" s="30" t="s">
        <v>62</v>
      </c>
      <c r="F39" s="87" t="s">
        <v>63</v>
      </c>
      <c r="G39" s="87" t="s">
        <v>583</v>
      </c>
      <c r="H39" s="87" t="s">
        <v>584</v>
      </c>
      <c r="I39" s="30"/>
      <c r="J39" s="35">
        <v>8.0</v>
      </c>
      <c r="K39" s="89" t="s">
        <v>40</v>
      </c>
      <c r="L39" s="90">
        <v>2650.0</v>
      </c>
      <c r="M39" s="31">
        <v>21200.0</v>
      </c>
      <c r="N39" s="64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571</v>
      </c>
      <c r="C40" s="30" t="s">
        <v>67</v>
      </c>
      <c r="D40" s="30" t="s">
        <v>61</v>
      </c>
      <c r="E40" s="30" t="s">
        <v>185</v>
      </c>
      <c r="F40" s="87" t="s">
        <v>63</v>
      </c>
      <c r="G40" s="87" t="s">
        <v>572</v>
      </c>
      <c r="H40" s="87" t="s">
        <v>573</v>
      </c>
      <c r="I40" s="30"/>
      <c r="J40" s="35">
        <v>10.0</v>
      </c>
      <c r="K40" s="89" t="s">
        <v>41</v>
      </c>
      <c r="L40" s="90">
        <v>3600.0</v>
      </c>
      <c r="M40" s="31">
        <v>36000.0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2" t="s">
        <v>135</v>
      </c>
      <c r="B41" s="30" t="s">
        <v>416</v>
      </c>
      <c r="C41" s="30" t="s">
        <v>67</v>
      </c>
      <c r="D41" s="30" t="s">
        <v>61</v>
      </c>
      <c r="E41" s="30" t="s">
        <v>62</v>
      </c>
      <c r="F41" s="87" t="s">
        <v>63</v>
      </c>
      <c r="G41" s="87" t="s">
        <v>311</v>
      </c>
      <c r="H41" s="87" t="s">
        <v>312</v>
      </c>
      <c r="I41" s="30"/>
      <c r="J41" s="35">
        <v>46.0</v>
      </c>
      <c r="K41" s="89" t="s">
        <v>41</v>
      </c>
      <c r="L41" s="90">
        <v>3100.0</v>
      </c>
      <c r="M41" s="31">
        <v>142600.0</v>
      </c>
      <c r="N41" s="93">
        <f>SUM(M41:M42)</f>
        <v>3142600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71"/>
      <c r="B42" s="30" t="s">
        <v>416</v>
      </c>
      <c r="C42" s="30" t="s">
        <v>67</v>
      </c>
      <c r="D42" s="30" t="s">
        <v>61</v>
      </c>
      <c r="E42" s="30" t="s">
        <v>106</v>
      </c>
      <c r="F42" s="87" t="s">
        <v>63</v>
      </c>
      <c r="G42" s="87" t="s">
        <v>646</v>
      </c>
      <c r="H42" s="87" t="s">
        <v>647</v>
      </c>
      <c r="I42" s="30"/>
      <c r="J42" s="35">
        <v>300.0</v>
      </c>
      <c r="K42" s="89" t="s">
        <v>41</v>
      </c>
      <c r="L42" s="90">
        <v>10000.0</v>
      </c>
      <c r="M42" s="31">
        <v>3000000.0</v>
      </c>
      <c r="N42" s="7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66</v>
      </c>
      <c r="B43" s="30" t="s">
        <v>66</v>
      </c>
      <c r="C43" s="30" t="s">
        <v>67</v>
      </c>
      <c r="D43" s="30" t="s">
        <v>61</v>
      </c>
      <c r="E43" s="30" t="s">
        <v>70</v>
      </c>
      <c r="F43" s="87" t="s">
        <v>71</v>
      </c>
      <c r="G43" s="87" t="s">
        <v>648</v>
      </c>
      <c r="H43" s="87" t="s">
        <v>649</v>
      </c>
      <c r="I43" s="30"/>
      <c r="J43" s="35">
        <v>1.0</v>
      </c>
      <c r="K43" s="89" t="s">
        <v>40</v>
      </c>
      <c r="L43" s="90">
        <v>219100.0</v>
      </c>
      <c r="M43" s="31">
        <v>219100.0</v>
      </c>
      <c r="N43" s="91">
        <f>SUM(M43)</f>
        <v>219100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92" t="s">
        <v>82</v>
      </c>
      <c r="B44" s="30" t="s">
        <v>580</v>
      </c>
      <c r="C44" s="30" t="s">
        <v>67</v>
      </c>
      <c r="D44" s="30" t="s">
        <v>61</v>
      </c>
      <c r="E44" s="30" t="s">
        <v>62</v>
      </c>
      <c r="F44" s="87" t="s">
        <v>63</v>
      </c>
      <c r="G44" s="87" t="s">
        <v>583</v>
      </c>
      <c r="H44" s="87" t="s">
        <v>584</v>
      </c>
      <c r="I44" s="30"/>
      <c r="J44" s="35">
        <v>10.0</v>
      </c>
      <c r="K44" s="89" t="s">
        <v>41</v>
      </c>
      <c r="L44" s="90">
        <v>1000.0</v>
      </c>
      <c r="M44" s="31">
        <v>10000.0</v>
      </c>
      <c r="N44" s="93">
        <f>SUM(M44:M45)</f>
        <v>13690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83</v>
      </c>
      <c r="C45" s="30" t="s">
        <v>84</v>
      </c>
      <c r="D45" s="30" t="s">
        <v>85</v>
      </c>
      <c r="E45" s="30" t="s">
        <v>62</v>
      </c>
      <c r="F45" s="87" t="s">
        <v>63</v>
      </c>
      <c r="G45" s="87" t="s">
        <v>277</v>
      </c>
      <c r="H45" s="87" t="s">
        <v>278</v>
      </c>
      <c r="I45" s="30"/>
      <c r="J45" s="35">
        <v>1.0</v>
      </c>
      <c r="K45" s="89" t="s">
        <v>40</v>
      </c>
      <c r="L45" s="90">
        <v>3690.0</v>
      </c>
      <c r="M45" s="31">
        <v>3690.0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153</v>
      </c>
      <c r="B46" s="30" t="s">
        <v>296</v>
      </c>
      <c r="C46" s="30" t="s">
        <v>98</v>
      </c>
      <c r="D46" s="30" t="s">
        <v>61</v>
      </c>
      <c r="E46" s="30" t="s">
        <v>62</v>
      </c>
      <c r="F46" s="87" t="s">
        <v>63</v>
      </c>
      <c r="G46" s="87" t="s">
        <v>592</v>
      </c>
      <c r="H46" s="87" t="s">
        <v>593</v>
      </c>
      <c r="I46" s="30"/>
      <c r="J46" s="35">
        <v>50.0</v>
      </c>
      <c r="K46" s="89" t="s">
        <v>40</v>
      </c>
      <c r="L46" s="90">
        <v>1940.0</v>
      </c>
      <c r="M46" s="31">
        <v>97000.0</v>
      </c>
      <c r="N46" s="91">
        <f>SUM(M46)</f>
        <v>97000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2" t="s">
        <v>92</v>
      </c>
      <c r="B47" s="30" t="s">
        <v>93</v>
      </c>
      <c r="C47" s="30" t="s">
        <v>67</v>
      </c>
      <c r="D47" s="30" t="s">
        <v>61</v>
      </c>
      <c r="E47" s="30" t="s">
        <v>62</v>
      </c>
      <c r="F47" s="87" t="s">
        <v>63</v>
      </c>
      <c r="G47" s="87" t="s">
        <v>90</v>
      </c>
      <c r="H47" s="87" t="s">
        <v>91</v>
      </c>
      <c r="I47" s="30"/>
      <c r="J47" s="35">
        <v>400.0</v>
      </c>
      <c r="K47" s="89" t="s">
        <v>41</v>
      </c>
      <c r="L47" s="90">
        <v>1770.0</v>
      </c>
      <c r="M47" s="31">
        <v>708000.0</v>
      </c>
      <c r="N47" s="93">
        <f>SUM(M47:M48)</f>
        <v>1362000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93</v>
      </c>
      <c r="C48" s="30" t="s">
        <v>67</v>
      </c>
      <c r="D48" s="30" t="s">
        <v>61</v>
      </c>
      <c r="E48" s="30" t="s">
        <v>62</v>
      </c>
      <c r="F48" s="87" t="s">
        <v>63</v>
      </c>
      <c r="G48" s="87" t="s">
        <v>324</v>
      </c>
      <c r="H48" s="87" t="s">
        <v>325</v>
      </c>
      <c r="I48" s="30"/>
      <c r="J48" s="35">
        <v>300.0</v>
      </c>
      <c r="K48" s="89" t="s">
        <v>40</v>
      </c>
      <c r="L48" s="90">
        <v>2180.0</v>
      </c>
      <c r="M48" s="31">
        <v>654000.0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2" t="s">
        <v>96</v>
      </c>
      <c r="B49" s="30" t="s">
        <v>449</v>
      </c>
      <c r="C49" s="30" t="s">
        <v>98</v>
      </c>
      <c r="D49" s="30" t="s">
        <v>85</v>
      </c>
      <c r="E49" s="30" t="s">
        <v>70</v>
      </c>
      <c r="F49" s="87" t="s">
        <v>71</v>
      </c>
      <c r="G49" s="87" t="s">
        <v>450</v>
      </c>
      <c r="H49" s="87" t="s">
        <v>451</v>
      </c>
      <c r="I49" s="30"/>
      <c r="J49" s="35">
        <v>6.0</v>
      </c>
      <c r="K49" s="89" t="s">
        <v>40</v>
      </c>
      <c r="L49" s="90">
        <v>6300.0</v>
      </c>
      <c r="M49" s="31">
        <v>37800.0</v>
      </c>
      <c r="N49" s="93">
        <f>SUM(M49:M54)</f>
        <v>2762800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452</v>
      </c>
      <c r="C50" s="30" t="s">
        <v>98</v>
      </c>
      <c r="D50" s="30" t="s">
        <v>61</v>
      </c>
      <c r="E50" s="30" t="s">
        <v>70</v>
      </c>
      <c r="F50" s="87" t="s">
        <v>29</v>
      </c>
      <c r="G50" s="87" t="s">
        <v>455</v>
      </c>
      <c r="H50" s="87" t="s">
        <v>456</v>
      </c>
      <c r="I50" s="30"/>
      <c r="J50" s="35">
        <v>8.0</v>
      </c>
      <c r="K50" s="89" t="s">
        <v>40</v>
      </c>
      <c r="L50" s="90">
        <v>1600.0</v>
      </c>
      <c r="M50" s="31">
        <v>12800.0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64"/>
      <c r="B51" s="30" t="s">
        <v>452</v>
      </c>
      <c r="C51" s="30" t="s">
        <v>98</v>
      </c>
      <c r="D51" s="30" t="s">
        <v>61</v>
      </c>
      <c r="E51" s="30" t="s">
        <v>70</v>
      </c>
      <c r="F51" s="87" t="s">
        <v>29</v>
      </c>
      <c r="G51" s="87" t="s">
        <v>453</v>
      </c>
      <c r="H51" s="87" t="s">
        <v>454</v>
      </c>
      <c r="I51" s="30"/>
      <c r="J51" s="35">
        <v>8.0</v>
      </c>
      <c r="K51" s="89" t="s">
        <v>40</v>
      </c>
      <c r="L51" s="90">
        <v>267800.0</v>
      </c>
      <c r="M51" s="31">
        <v>2142400.0</v>
      </c>
      <c r="N51" s="64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602</v>
      </c>
      <c r="C52" s="30" t="s">
        <v>67</v>
      </c>
      <c r="D52" s="30" t="s">
        <v>85</v>
      </c>
      <c r="E52" s="30" t="s">
        <v>62</v>
      </c>
      <c r="F52" s="87" t="s">
        <v>71</v>
      </c>
      <c r="G52" s="87" t="s">
        <v>603</v>
      </c>
      <c r="H52" s="87" t="s">
        <v>604</v>
      </c>
      <c r="I52" s="30"/>
      <c r="J52" s="35">
        <v>3.0</v>
      </c>
      <c r="K52" s="89" t="s">
        <v>40</v>
      </c>
      <c r="L52" s="90">
        <v>50600.0</v>
      </c>
      <c r="M52" s="31">
        <v>151800.0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64"/>
      <c r="B53" s="30" t="s">
        <v>508</v>
      </c>
      <c r="C53" s="30" t="s">
        <v>84</v>
      </c>
      <c r="D53" s="30" t="s">
        <v>85</v>
      </c>
      <c r="E53" s="30" t="s">
        <v>185</v>
      </c>
      <c r="F53" s="87" t="s">
        <v>28</v>
      </c>
      <c r="G53" s="87" t="s">
        <v>600</v>
      </c>
      <c r="H53" s="87" t="s">
        <v>601</v>
      </c>
      <c r="I53" s="30"/>
      <c r="J53" s="35">
        <v>2.0</v>
      </c>
      <c r="K53" s="89" t="s">
        <v>40</v>
      </c>
      <c r="L53" s="90">
        <v>168500.0</v>
      </c>
      <c r="M53" s="31">
        <v>337000.0</v>
      </c>
      <c r="N53" s="64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71"/>
      <c r="B54" s="30" t="s">
        <v>165</v>
      </c>
      <c r="C54" s="30" t="s">
        <v>67</v>
      </c>
      <c r="D54" s="30" t="s">
        <v>61</v>
      </c>
      <c r="E54" s="30" t="s">
        <v>62</v>
      </c>
      <c r="F54" s="87" t="s">
        <v>71</v>
      </c>
      <c r="G54" s="87" t="s">
        <v>275</v>
      </c>
      <c r="H54" s="87" t="s">
        <v>276</v>
      </c>
      <c r="I54" s="30"/>
      <c r="J54" s="35">
        <v>15.0</v>
      </c>
      <c r="K54" s="89" t="s">
        <v>40</v>
      </c>
      <c r="L54" s="90">
        <v>5400.0</v>
      </c>
      <c r="M54" s="31">
        <v>81000.0</v>
      </c>
      <c r="N54" s="71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87" t="s">
        <v>99</v>
      </c>
      <c r="B55" s="30" t="s">
        <v>322</v>
      </c>
      <c r="C55" s="30" t="s">
        <v>84</v>
      </c>
      <c r="D55" s="30" t="s">
        <v>85</v>
      </c>
      <c r="E55" s="30" t="s">
        <v>62</v>
      </c>
      <c r="F55" s="87" t="s">
        <v>63</v>
      </c>
      <c r="G55" s="87" t="s">
        <v>608</v>
      </c>
      <c r="H55" s="87" t="s">
        <v>609</v>
      </c>
      <c r="I55" s="30"/>
      <c r="J55" s="35">
        <v>400.0</v>
      </c>
      <c r="K55" s="89" t="s">
        <v>41</v>
      </c>
      <c r="L55" s="90">
        <v>4040.0</v>
      </c>
      <c r="M55" s="31">
        <v>1616000.0</v>
      </c>
      <c r="N55" s="91">
        <f>SUM(M55)</f>
        <v>1616000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2" t="s">
        <v>182</v>
      </c>
      <c r="B56" s="30" t="s">
        <v>339</v>
      </c>
      <c r="C56" s="30" t="s">
        <v>340</v>
      </c>
      <c r="D56" s="30" t="s">
        <v>61</v>
      </c>
      <c r="E56" s="30" t="s">
        <v>62</v>
      </c>
      <c r="F56" s="87" t="s">
        <v>63</v>
      </c>
      <c r="G56" s="87" t="s">
        <v>612</v>
      </c>
      <c r="H56" s="87" t="s">
        <v>613</v>
      </c>
      <c r="I56" s="30"/>
      <c r="J56" s="35">
        <v>48.0</v>
      </c>
      <c r="K56" s="89" t="s">
        <v>40</v>
      </c>
      <c r="L56" s="90">
        <v>7950.0</v>
      </c>
      <c r="M56" s="31">
        <v>381600.0</v>
      </c>
      <c r="N56" s="93">
        <f>SUM(M56:M57)</f>
        <v>2196480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188</v>
      </c>
      <c r="C57" s="30" t="s">
        <v>189</v>
      </c>
      <c r="D57" s="30" t="s">
        <v>61</v>
      </c>
      <c r="E57" s="30" t="s">
        <v>70</v>
      </c>
      <c r="F57" s="87" t="s">
        <v>71</v>
      </c>
      <c r="G57" s="87" t="s">
        <v>190</v>
      </c>
      <c r="H57" s="87" t="s">
        <v>191</v>
      </c>
      <c r="I57" s="30"/>
      <c r="J57" s="35">
        <v>114.0</v>
      </c>
      <c r="K57" s="89" t="s">
        <v>40</v>
      </c>
      <c r="L57" s="90">
        <v>15920.0</v>
      </c>
      <c r="M57" s="31">
        <v>1814880.0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5" t="str">
        <f>MID(CELL("filename",$A$1),FIND("]",CELL("filename",$A$1))+1,100)&amp;" TOTAL"</f>
        <v>#VALUE!</v>
      </c>
      <c r="B58" s="96"/>
      <c r="C58" s="96"/>
      <c r="D58" s="96"/>
      <c r="E58" s="96"/>
      <c r="F58" s="96"/>
      <c r="G58" s="97"/>
      <c r="H58" s="97"/>
      <c r="I58" s="96"/>
      <c r="J58" s="96"/>
      <c r="K58" s="98"/>
      <c r="L58" s="99"/>
      <c r="M58" s="66">
        <f t="shared" ref="M58:N58" si="6">SUM(M37:M57)</f>
        <v>11520710</v>
      </c>
      <c r="N58" s="100">
        <f t="shared" si="6"/>
        <v>11520710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1"/>
      <c r="B59" s="102"/>
      <c r="C59" s="102"/>
      <c r="D59" s="102"/>
      <c r="E59" s="102"/>
      <c r="F59" s="102"/>
      <c r="G59" s="102"/>
      <c r="H59" s="103"/>
      <c r="I59" s="102"/>
      <c r="J59" s="102"/>
      <c r="K59" s="102"/>
      <c r="L59" s="104"/>
      <c r="M59" s="105"/>
      <c r="N59" s="10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1" t="s">
        <v>109</v>
      </c>
      <c r="B60" s="106"/>
      <c r="C60" s="107"/>
      <c r="D60" s="107"/>
      <c r="E60" s="107"/>
      <c r="F60" s="107"/>
      <c r="G60" s="107"/>
      <c r="H60" s="108"/>
      <c r="I60" s="107"/>
      <c r="J60" s="107"/>
      <c r="K60" s="43"/>
      <c r="L60" s="109"/>
      <c r="M60" s="43"/>
      <c r="N60" s="109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1"/>
      <c r="B61" s="106"/>
      <c r="C61" s="107"/>
      <c r="D61" s="107"/>
      <c r="E61" s="107"/>
      <c r="F61" s="107"/>
      <c r="G61" s="107"/>
      <c r="H61" s="108"/>
      <c r="I61" s="107"/>
      <c r="J61" s="107"/>
      <c r="K61" s="43"/>
      <c r="L61" s="109"/>
      <c r="M61" s="43"/>
      <c r="N61" s="109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10" t="s">
        <v>110</v>
      </c>
      <c r="B62" s="67"/>
      <c r="C62" s="67"/>
      <c r="D62" s="101"/>
      <c r="E62" s="67"/>
      <c r="F62" s="67"/>
      <c r="G62" s="67"/>
      <c r="H62" s="111"/>
      <c r="I62" s="112"/>
      <c r="J62" s="112"/>
      <c r="K62" s="112"/>
      <c r="L62" s="112"/>
      <c r="M62" s="68"/>
      <c r="N62" s="113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customHeight="1">
      <c r="A63" s="57" t="s">
        <v>44</v>
      </c>
      <c r="B63" s="57" t="s">
        <v>45</v>
      </c>
      <c r="C63" s="57" t="s">
        <v>46</v>
      </c>
      <c r="D63" s="57" t="s">
        <v>650</v>
      </c>
      <c r="E63" s="57" t="s">
        <v>48</v>
      </c>
      <c r="F63" s="57" t="s">
        <v>112</v>
      </c>
      <c r="G63" s="57" t="s">
        <v>50</v>
      </c>
      <c r="H63" s="57" t="s">
        <v>51</v>
      </c>
      <c r="I63" s="57" t="s">
        <v>53</v>
      </c>
      <c r="J63" s="57" t="s">
        <v>113</v>
      </c>
      <c r="K63" s="57" t="s">
        <v>114</v>
      </c>
      <c r="L63" s="114" t="s">
        <v>115</v>
      </c>
      <c r="M63" s="114" t="s">
        <v>116</v>
      </c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customHeight="1">
      <c r="A64" s="92" t="s">
        <v>651</v>
      </c>
      <c r="B64" s="117" t="s">
        <v>651</v>
      </c>
      <c r="C64" s="88"/>
      <c r="D64" s="30" t="s">
        <v>85</v>
      </c>
      <c r="E64" s="30" t="s">
        <v>195</v>
      </c>
      <c r="F64" s="87" t="s">
        <v>71</v>
      </c>
      <c r="G64" s="87" t="s">
        <v>652</v>
      </c>
      <c r="H64" s="87" t="s">
        <v>653</v>
      </c>
      <c r="I64" s="34">
        <v>100.0</v>
      </c>
      <c r="J64" s="118">
        <v>656.0</v>
      </c>
      <c r="K64" s="118">
        <f t="shared" ref="K64:K65" si="7">I64*J64</f>
        <v>65600</v>
      </c>
      <c r="L64" s="119">
        <f>SUM(K64:K65)</f>
        <v>385600</v>
      </c>
      <c r="M64" s="120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customHeight="1">
      <c r="A65" s="71"/>
      <c r="B65" s="71"/>
      <c r="C65" s="88"/>
      <c r="D65" s="30" t="s">
        <v>85</v>
      </c>
      <c r="E65" s="30" t="s">
        <v>195</v>
      </c>
      <c r="F65" s="87" t="s">
        <v>71</v>
      </c>
      <c r="G65" s="87" t="s">
        <v>654</v>
      </c>
      <c r="H65" s="87" t="s">
        <v>655</v>
      </c>
      <c r="I65" s="31">
        <v>2000.0</v>
      </c>
      <c r="J65" s="118">
        <v>160.0</v>
      </c>
      <c r="K65" s="118">
        <f t="shared" si="7"/>
        <v>320000</v>
      </c>
      <c r="L65" s="64"/>
      <c r="M65" s="120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customHeight="1">
      <c r="A66" s="121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2">
        <f>SUM(K64:K65)</f>
        <v>385600</v>
      </c>
      <c r="L66" s="123">
        <f>SUM(L64)</f>
        <v>385600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1"/>
      <c r="B67" s="67"/>
      <c r="C67" s="67"/>
      <c r="D67" s="101"/>
      <c r="E67" s="67"/>
      <c r="F67" s="67"/>
      <c r="G67" s="67"/>
      <c r="H67" s="111"/>
      <c r="I67" s="112"/>
      <c r="J67" s="112"/>
      <c r="K67" s="112"/>
      <c r="L67" s="112"/>
      <c r="M67" s="68"/>
      <c r="N67" s="113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57" t="s">
        <v>44</v>
      </c>
      <c r="B68" s="57" t="s">
        <v>45</v>
      </c>
      <c r="C68" s="57" t="s">
        <v>46</v>
      </c>
      <c r="D68" s="57" t="s">
        <v>656</v>
      </c>
      <c r="E68" s="57" t="s">
        <v>48</v>
      </c>
      <c r="F68" s="57" t="s">
        <v>118</v>
      </c>
      <c r="G68" s="57" t="s">
        <v>50</v>
      </c>
      <c r="H68" s="57" t="s">
        <v>51</v>
      </c>
      <c r="I68" s="114" t="s">
        <v>53</v>
      </c>
      <c r="J68" s="114" t="s">
        <v>119</v>
      </c>
      <c r="K68" s="124" t="s">
        <v>120</v>
      </c>
      <c r="L68" s="125" t="s">
        <v>121</v>
      </c>
      <c r="M68" s="124" t="s">
        <v>116</v>
      </c>
      <c r="N68" s="58"/>
      <c r="O68" s="115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6.5" hidden="1" customHeight="1">
      <c r="A69" s="92"/>
      <c r="B69" s="156"/>
      <c r="C69" s="157"/>
      <c r="D69" s="158"/>
      <c r="E69" s="30"/>
      <c r="F69" s="87"/>
      <c r="G69" s="159"/>
      <c r="H69" s="159"/>
      <c r="I69" s="160"/>
      <c r="J69" s="161"/>
      <c r="K69" s="162"/>
      <c r="L69" s="163"/>
      <c r="M69" s="164"/>
      <c r="N69" s="58"/>
      <c r="O69" s="115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6.5" hidden="1" customHeight="1">
      <c r="A70" s="145"/>
      <c r="B70" s="165"/>
      <c r="C70" s="157"/>
      <c r="D70" s="158"/>
      <c r="E70" s="30"/>
      <c r="F70" s="87"/>
      <c r="G70" s="166"/>
      <c r="H70" s="167"/>
      <c r="I70" s="161"/>
      <c r="J70" s="161"/>
      <c r="K70" s="161"/>
      <c r="L70" s="168"/>
      <c r="M70" s="164"/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145"/>
      <c r="B71" s="165"/>
      <c r="C71" s="157"/>
      <c r="D71" s="158"/>
      <c r="E71" s="30"/>
      <c r="F71" s="87"/>
      <c r="G71" s="166"/>
      <c r="H71" s="167"/>
      <c r="I71" s="161"/>
      <c r="J71" s="161"/>
      <c r="K71" s="161"/>
      <c r="L71" s="168"/>
      <c r="M71" s="164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46"/>
      <c r="B72" s="169"/>
      <c r="C72" s="157"/>
      <c r="D72" s="158"/>
      <c r="E72" s="30"/>
      <c r="F72" s="87"/>
      <c r="G72" s="166"/>
      <c r="H72" s="167"/>
      <c r="I72" s="161"/>
      <c r="J72" s="161"/>
      <c r="K72" s="161"/>
      <c r="L72" s="170"/>
      <c r="M72" s="164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29" t="str">
        <f>A58</f>
        <v>#VALUE!</v>
      </c>
      <c r="B73" s="80"/>
      <c r="C73" s="80"/>
      <c r="D73" s="80"/>
      <c r="E73" s="80"/>
      <c r="F73" s="80"/>
      <c r="G73" s="80"/>
      <c r="H73" s="80"/>
      <c r="I73" s="80"/>
      <c r="J73" s="130"/>
      <c r="K73" s="131">
        <f>SUM(K69:K72)</f>
        <v>0</v>
      </c>
      <c r="L73" s="131">
        <f>SUM(L69)</f>
        <v>0</v>
      </c>
      <c r="M73" s="132"/>
      <c r="N73" s="44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hidden="1" customHeight="1">
      <c r="A74" s="133"/>
      <c r="B74" s="134"/>
      <c r="C74" s="112"/>
      <c r="D74" s="112"/>
      <c r="E74" s="134"/>
      <c r="F74" s="134"/>
      <c r="G74" s="134"/>
      <c r="H74" s="111"/>
      <c r="I74" s="112"/>
      <c r="J74" s="112"/>
      <c r="K74" s="112"/>
      <c r="L74" s="112"/>
      <c r="M74" s="134"/>
      <c r="N74" s="11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0.75" hidden="1" customHeight="1">
      <c r="A75" s="133"/>
      <c r="B75" s="134"/>
      <c r="C75" s="112"/>
      <c r="D75" s="112"/>
      <c r="E75" s="134"/>
      <c r="F75" s="134"/>
      <c r="G75" s="134"/>
      <c r="H75" s="111"/>
      <c r="I75" s="112"/>
      <c r="J75" s="112"/>
      <c r="K75" s="112"/>
      <c r="L75" s="112"/>
      <c r="M75" s="134"/>
      <c r="N75" s="11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hidden="1" customHeight="1">
      <c r="A76" s="133"/>
      <c r="B76" s="134"/>
      <c r="C76" s="112"/>
      <c r="D76" s="112"/>
      <c r="E76" s="134"/>
      <c r="F76" s="134"/>
      <c r="G76" s="134"/>
      <c r="H76" s="111"/>
      <c r="I76" s="112"/>
      <c r="J76" s="112"/>
      <c r="K76" s="112"/>
      <c r="L76" s="112"/>
      <c r="M76" s="134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33"/>
      <c r="B77" s="134"/>
      <c r="C77" s="112"/>
      <c r="D77" s="112"/>
      <c r="E77" s="134"/>
      <c r="F77" s="134"/>
      <c r="G77" s="134"/>
      <c r="H77" s="111"/>
      <c r="I77" s="112"/>
      <c r="J77" s="112"/>
      <c r="K77" s="112"/>
      <c r="L77" s="112"/>
      <c r="M77" s="134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2" t="s">
        <v>657</v>
      </c>
      <c r="B78" s="135"/>
      <c r="C78" s="136"/>
      <c r="D78" s="136"/>
      <c r="E78" s="135"/>
      <c r="F78" s="136"/>
      <c r="G78" s="135"/>
      <c r="H78" s="137"/>
      <c r="I78" s="136"/>
      <c r="J78" s="136"/>
      <c r="K78" s="136"/>
      <c r="L78" s="136"/>
      <c r="M78" s="135"/>
      <c r="N78" s="138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2"/>
      <c r="B79" s="135"/>
      <c r="C79" s="136"/>
      <c r="D79" s="136"/>
      <c r="E79" s="135"/>
      <c r="F79" s="136"/>
      <c r="G79" s="135"/>
      <c r="H79" s="137"/>
      <c r="I79" s="136"/>
      <c r="J79" s="136"/>
      <c r="K79" s="136"/>
      <c r="L79" s="136"/>
      <c r="M79" s="135"/>
      <c r="N79" s="138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/>
      <c r="B80" s="135"/>
      <c r="C80" s="136"/>
      <c r="D80" s="136"/>
      <c r="E80" s="135"/>
      <c r="F80" s="136"/>
      <c r="G80" s="135"/>
      <c r="H80" s="137"/>
      <c r="I80" s="136"/>
      <c r="J80" s="136"/>
      <c r="K80" s="136"/>
      <c r="L80" s="136"/>
      <c r="M80" s="135"/>
      <c r="N80" s="138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35"/>
      <c r="C81" s="136"/>
      <c r="D81" s="136"/>
      <c r="E81" s="135"/>
      <c r="F81" s="136"/>
      <c r="G81" s="135"/>
      <c r="H81" s="137"/>
      <c r="I81" s="136"/>
      <c r="J81" s="136"/>
      <c r="K81" s="136"/>
      <c r="L81" s="136"/>
      <c r="M81" s="135"/>
      <c r="N81" s="138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customHeight="1">
      <c r="A82" s="112"/>
      <c r="B82" s="135"/>
      <c r="C82" s="136"/>
      <c r="D82" s="136"/>
      <c r="E82" s="135"/>
      <c r="F82" s="136"/>
      <c r="G82" s="135"/>
      <c r="H82" s="137"/>
      <c r="I82" s="136"/>
      <c r="J82" s="136"/>
      <c r="K82" s="136"/>
      <c r="L82" s="136"/>
      <c r="M82" s="135"/>
      <c r="N82" s="138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79" t="s">
        <v>123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1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56" t="s">
        <v>44</v>
      </c>
      <c r="B84" s="56" t="s">
        <v>45</v>
      </c>
      <c r="C84" s="56" t="s">
        <v>46</v>
      </c>
      <c r="D84" s="56" t="s">
        <v>658</v>
      </c>
      <c r="E84" s="56" t="s">
        <v>48</v>
      </c>
      <c r="F84" s="56" t="s">
        <v>49</v>
      </c>
      <c r="G84" s="56" t="s">
        <v>50</v>
      </c>
      <c r="H84" s="57" t="s">
        <v>51</v>
      </c>
      <c r="I84" s="139" t="s">
        <v>53</v>
      </c>
      <c r="J84" s="139" t="s">
        <v>55</v>
      </c>
      <c r="K84" s="124" t="s">
        <v>125</v>
      </c>
      <c r="L84" s="125" t="s">
        <v>57</v>
      </c>
      <c r="M84" s="140" t="s">
        <v>116</v>
      </c>
      <c r="N84" s="3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92" t="s">
        <v>570</v>
      </c>
      <c r="B85" s="30" t="s">
        <v>659</v>
      </c>
      <c r="C85" s="30" t="s">
        <v>67</v>
      </c>
      <c r="D85" s="30" t="s">
        <v>61</v>
      </c>
      <c r="E85" s="30" t="s">
        <v>62</v>
      </c>
      <c r="F85" s="87" t="s">
        <v>63</v>
      </c>
      <c r="G85" s="87" t="s">
        <v>660</v>
      </c>
      <c r="H85" s="87" t="s">
        <v>661</v>
      </c>
      <c r="I85" s="34">
        <v>20.0</v>
      </c>
      <c r="J85" s="31">
        <v>1090.0</v>
      </c>
      <c r="K85" s="31">
        <v>21800.0</v>
      </c>
      <c r="L85" s="93">
        <f>SUM(K85:K88)</f>
        <v>96840</v>
      </c>
      <c r="M85" s="142"/>
      <c r="N85" s="143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571</v>
      </c>
      <c r="C86" s="30" t="s">
        <v>67</v>
      </c>
      <c r="D86" s="30" t="s">
        <v>61</v>
      </c>
      <c r="E86" s="30" t="s">
        <v>62</v>
      </c>
      <c r="F86" s="87" t="s">
        <v>63</v>
      </c>
      <c r="G86" s="87" t="s">
        <v>644</v>
      </c>
      <c r="H86" s="87" t="s">
        <v>645</v>
      </c>
      <c r="I86" s="34">
        <v>8.0</v>
      </c>
      <c r="J86" s="31">
        <v>3580.0</v>
      </c>
      <c r="K86" s="31">
        <v>28640.0</v>
      </c>
      <c r="L86" s="64"/>
      <c r="M86" s="142"/>
      <c r="N86" s="143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571</v>
      </c>
      <c r="C87" s="30" t="s">
        <v>67</v>
      </c>
      <c r="D87" s="30" t="s">
        <v>61</v>
      </c>
      <c r="E87" s="30" t="s">
        <v>62</v>
      </c>
      <c r="F87" s="87" t="s">
        <v>63</v>
      </c>
      <c r="G87" s="87" t="s">
        <v>346</v>
      </c>
      <c r="H87" s="87" t="s">
        <v>347</v>
      </c>
      <c r="I87" s="34">
        <v>8.0</v>
      </c>
      <c r="J87" s="31">
        <v>3150.0</v>
      </c>
      <c r="K87" s="31">
        <v>25200.0</v>
      </c>
      <c r="L87" s="64"/>
      <c r="M87" s="142"/>
      <c r="N87" s="143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30" t="s">
        <v>571</v>
      </c>
      <c r="C88" s="30" t="s">
        <v>67</v>
      </c>
      <c r="D88" s="30" t="s">
        <v>61</v>
      </c>
      <c r="E88" s="30" t="s">
        <v>62</v>
      </c>
      <c r="F88" s="87" t="s">
        <v>63</v>
      </c>
      <c r="G88" s="87" t="s">
        <v>583</v>
      </c>
      <c r="H88" s="87" t="s">
        <v>584</v>
      </c>
      <c r="I88" s="34">
        <v>8.0</v>
      </c>
      <c r="J88" s="31">
        <v>2650.0</v>
      </c>
      <c r="K88" s="31">
        <v>21200.0</v>
      </c>
      <c r="L88" s="71"/>
      <c r="M88" s="142"/>
      <c r="N88" s="143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66</v>
      </c>
      <c r="B89" s="30" t="s">
        <v>662</v>
      </c>
      <c r="C89" s="30" t="s">
        <v>663</v>
      </c>
      <c r="D89" s="30" t="s">
        <v>61</v>
      </c>
      <c r="E89" s="30" t="s">
        <v>62</v>
      </c>
      <c r="F89" s="87" t="s">
        <v>71</v>
      </c>
      <c r="G89" s="87" t="s">
        <v>418</v>
      </c>
      <c r="H89" s="87" t="s">
        <v>419</v>
      </c>
      <c r="I89" s="34">
        <v>1.0</v>
      </c>
      <c r="J89" s="31">
        <v>135800.0</v>
      </c>
      <c r="K89" s="31">
        <v>135800.0</v>
      </c>
      <c r="L89" s="91">
        <f>SUM(K89)</f>
        <v>135800</v>
      </c>
      <c r="M89" s="142"/>
      <c r="N89" s="143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2" t="s">
        <v>82</v>
      </c>
      <c r="B90" s="30" t="s">
        <v>139</v>
      </c>
      <c r="C90" s="30" t="s">
        <v>140</v>
      </c>
      <c r="D90" s="30" t="s">
        <v>105</v>
      </c>
      <c r="E90" s="30" t="s">
        <v>62</v>
      </c>
      <c r="F90" s="87" t="s">
        <v>63</v>
      </c>
      <c r="G90" s="87" t="s">
        <v>664</v>
      </c>
      <c r="H90" s="87" t="s">
        <v>665</v>
      </c>
      <c r="I90" s="34">
        <v>100.0</v>
      </c>
      <c r="J90" s="31">
        <v>3550.0</v>
      </c>
      <c r="K90" s="31">
        <v>355000.0</v>
      </c>
      <c r="L90" s="93">
        <f>SUM(K90:K101)</f>
        <v>2392570</v>
      </c>
      <c r="M90" s="142"/>
      <c r="N90" s="143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139</v>
      </c>
      <c r="C91" s="30" t="s">
        <v>140</v>
      </c>
      <c r="D91" s="30" t="s">
        <v>105</v>
      </c>
      <c r="E91" s="30" t="s">
        <v>62</v>
      </c>
      <c r="F91" s="87" t="s">
        <v>71</v>
      </c>
      <c r="G91" s="87" t="s">
        <v>666</v>
      </c>
      <c r="H91" s="87" t="s">
        <v>667</v>
      </c>
      <c r="I91" s="34">
        <v>1.0</v>
      </c>
      <c r="J91" s="31">
        <v>50600.0</v>
      </c>
      <c r="K91" s="31">
        <v>50600.0</v>
      </c>
      <c r="L91" s="64"/>
      <c r="M91" s="142"/>
      <c r="N91" s="14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274</v>
      </c>
      <c r="C92" s="30" t="s">
        <v>101</v>
      </c>
      <c r="D92" s="30" t="s">
        <v>61</v>
      </c>
      <c r="E92" s="30" t="s">
        <v>62</v>
      </c>
      <c r="F92" s="87" t="s">
        <v>63</v>
      </c>
      <c r="G92" s="87" t="s">
        <v>668</v>
      </c>
      <c r="H92" s="87" t="s">
        <v>669</v>
      </c>
      <c r="I92" s="34">
        <v>120.0</v>
      </c>
      <c r="J92" s="31">
        <v>4200.0</v>
      </c>
      <c r="K92" s="31">
        <v>504000.0</v>
      </c>
      <c r="L92" s="64"/>
      <c r="M92" s="142"/>
      <c r="N92" s="143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577</v>
      </c>
      <c r="C93" s="30" t="s">
        <v>67</v>
      </c>
      <c r="D93" s="30" t="s">
        <v>105</v>
      </c>
      <c r="E93" s="30" t="s">
        <v>62</v>
      </c>
      <c r="F93" s="87" t="s">
        <v>63</v>
      </c>
      <c r="G93" s="87" t="s">
        <v>348</v>
      </c>
      <c r="H93" s="87" t="s">
        <v>349</v>
      </c>
      <c r="I93" s="34">
        <v>45.0</v>
      </c>
      <c r="J93" s="31">
        <v>1910.0</v>
      </c>
      <c r="K93" s="31">
        <v>85950.0</v>
      </c>
      <c r="L93" s="64"/>
      <c r="M93" s="142"/>
      <c r="N93" s="143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580</v>
      </c>
      <c r="C94" s="30" t="s">
        <v>67</v>
      </c>
      <c r="D94" s="30" t="s">
        <v>61</v>
      </c>
      <c r="E94" s="30" t="s">
        <v>106</v>
      </c>
      <c r="F94" s="87" t="s">
        <v>63</v>
      </c>
      <c r="G94" s="87" t="s">
        <v>581</v>
      </c>
      <c r="H94" s="87" t="s">
        <v>582</v>
      </c>
      <c r="I94" s="34">
        <v>50.0</v>
      </c>
      <c r="J94" s="31">
        <v>1200.0</v>
      </c>
      <c r="K94" s="31">
        <v>60000.0</v>
      </c>
      <c r="L94" s="64"/>
      <c r="M94" s="142"/>
      <c r="N94" s="143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580</v>
      </c>
      <c r="C95" s="30" t="s">
        <v>67</v>
      </c>
      <c r="D95" s="30" t="s">
        <v>61</v>
      </c>
      <c r="E95" s="30" t="s">
        <v>106</v>
      </c>
      <c r="F95" s="87" t="s">
        <v>63</v>
      </c>
      <c r="G95" s="87" t="s">
        <v>583</v>
      </c>
      <c r="H95" s="87" t="s">
        <v>584</v>
      </c>
      <c r="I95" s="34">
        <v>82.0</v>
      </c>
      <c r="J95" s="31">
        <v>1000.0</v>
      </c>
      <c r="K95" s="31">
        <v>82000.0</v>
      </c>
      <c r="L95" s="64"/>
      <c r="M95" s="142"/>
      <c r="N95" s="143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64"/>
      <c r="B96" s="30" t="s">
        <v>83</v>
      </c>
      <c r="C96" s="30" t="s">
        <v>84</v>
      </c>
      <c r="D96" s="30" t="s">
        <v>85</v>
      </c>
      <c r="E96" s="30" t="s">
        <v>62</v>
      </c>
      <c r="F96" s="87" t="s">
        <v>63</v>
      </c>
      <c r="G96" s="87" t="s">
        <v>644</v>
      </c>
      <c r="H96" s="87" t="s">
        <v>645</v>
      </c>
      <c r="I96" s="34">
        <v>20.0</v>
      </c>
      <c r="J96" s="31">
        <v>3580.0</v>
      </c>
      <c r="K96" s="31">
        <v>71600.0</v>
      </c>
      <c r="L96" s="64"/>
      <c r="M96" s="142"/>
      <c r="N96" s="143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64"/>
      <c r="B97" s="30" t="s">
        <v>274</v>
      </c>
      <c r="C97" s="30" t="s">
        <v>101</v>
      </c>
      <c r="D97" s="30" t="s">
        <v>61</v>
      </c>
      <c r="E97" s="30" t="s">
        <v>62</v>
      </c>
      <c r="F97" s="87" t="s">
        <v>63</v>
      </c>
      <c r="G97" s="87" t="s">
        <v>311</v>
      </c>
      <c r="H97" s="87" t="s">
        <v>312</v>
      </c>
      <c r="I97" s="34">
        <v>20.0</v>
      </c>
      <c r="J97" s="31">
        <v>3430.0</v>
      </c>
      <c r="K97" s="31">
        <v>68600.0</v>
      </c>
      <c r="L97" s="64"/>
      <c r="M97" s="142"/>
      <c r="N97" s="143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670</v>
      </c>
      <c r="C98" s="30" t="s">
        <v>671</v>
      </c>
      <c r="D98" s="30" t="s">
        <v>105</v>
      </c>
      <c r="E98" s="30" t="s">
        <v>62</v>
      </c>
      <c r="F98" s="87" t="s">
        <v>63</v>
      </c>
      <c r="G98" s="87" t="s">
        <v>672</v>
      </c>
      <c r="H98" s="87" t="s">
        <v>673</v>
      </c>
      <c r="I98" s="34">
        <v>50.0</v>
      </c>
      <c r="J98" s="31">
        <v>1300.0</v>
      </c>
      <c r="K98" s="31">
        <v>65000.0</v>
      </c>
      <c r="L98" s="64"/>
      <c r="M98" s="142"/>
      <c r="N98" s="14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670</v>
      </c>
      <c r="C99" s="30" t="s">
        <v>671</v>
      </c>
      <c r="D99" s="30" t="s">
        <v>105</v>
      </c>
      <c r="E99" s="30" t="s">
        <v>62</v>
      </c>
      <c r="F99" s="87" t="s">
        <v>63</v>
      </c>
      <c r="G99" s="87" t="s">
        <v>614</v>
      </c>
      <c r="H99" s="87" t="s">
        <v>615</v>
      </c>
      <c r="I99" s="34">
        <v>30.0</v>
      </c>
      <c r="J99" s="31">
        <v>5850.0</v>
      </c>
      <c r="K99" s="31">
        <v>175500.0</v>
      </c>
      <c r="L99" s="64"/>
      <c r="M99" s="142"/>
      <c r="N99" s="143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139</v>
      </c>
      <c r="C100" s="30" t="s">
        <v>140</v>
      </c>
      <c r="D100" s="30" t="s">
        <v>105</v>
      </c>
      <c r="E100" s="30" t="s">
        <v>62</v>
      </c>
      <c r="F100" s="87" t="s">
        <v>63</v>
      </c>
      <c r="G100" s="87" t="s">
        <v>307</v>
      </c>
      <c r="H100" s="87" t="s">
        <v>308</v>
      </c>
      <c r="I100" s="34">
        <v>144.0</v>
      </c>
      <c r="J100" s="31">
        <v>3420.0</v>
      </c>
      <c r="K100" s="31">
        <v>492480.0</v>
      </c>
      <c r="L100" s="64"/>
      <c r="M100" s="142"/>
      <c r="N100" s="143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71"/>
      <c r="B101" s="30" t="s">
        <v>139</v>
      </c>
      <c r="C101" s="30" t="s">
        <v>140</v>
      </c>
      <c r="D101" s="30" t="s">
        <v>105</v>
      </c>
      <c r="E101" s="30" t="s">
        <v>62</v>
      </c>
      <c r="F101" s="87" t="s">
        <v>63</v>
      </c>
      <c r="G101" s="87" t="s">
        <v>674</v>
      </c>
      <c r="H101" s="87" t="s">
        <v>675</v>
      </c>
      <c r="I101" s="34">
        <v>86.0</v>
      </c>
      <c r="J101" s="31">
        <v>4440.0</v>
      </c>
      <c r="K101" s="31">
        <v>381840.0</v>
      </c>
      <c r="L101" s="71"/>
      <c r="M101" s="142"/>
      <c r="N101" s="14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87" t="s">
        <v>279</v>
      </c>
      <c r="B102" s="30" t="s">
        <v>676</v>
      </c>
      <c r="C102" s="30" t="s">
        <v>677</v>
      </c>
      <c r="D102" s="30" t="s">
        <v>61</v>
      </c>
      <c r="E102" s="30" t="s">
        <v>62</v>
      </c>
      <c r="F102" s="87" t="s">
        <v>63</v>
      </c>
      <c r="G102" s="87" t="s">
        <v>664</v>
      </c>
      <c r="H102" s="87" t="s">
        <v>665</v>
      </c>
      <c r="I102" s="34">
        <v>2.0</v>
      </c>
      <c r="J102" s="31">
        <v>3550.0</v>
      </c>
      <c r="K102" s="31">
        <v>7100.0</v>
      </c>
      <c r="L102" s="91">
        <f>SUM(K102)</f>
        <v>7100</v>
      </c>
      <c r="M102" s="142"/>
      <c r="N102" s="143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92" t="s">
        <v>88</v>
      </c>
      <c r="B103" s="30" t="s">
        <v>89</v>
      </c>
      <c r="C103" s="30" t="s">
        <v>67</v>
      </c>
      <c r="D103" s="30" t="s">
        <v>61</v>
      </c>
      <c r="E103" s="30" t="s">
        <v>62</v>
      </c>
      <c r="F103" s="87" t="s">
        <v>63</v>
      </c>
      <c r="G103" s="87" t="s">
        <v>678</v>
      </c>
      <c r="H103" s="87" t="s">
        <v>679</v>
      </c>
      <c r="I103" s="34">
        <v>300.0</v>
      </c>
      <c r="J103" s="31">
        <v>2730.0</v>
      </c>
      <c r="K103" s="31">
        <v>819000.0</v>
      </c>
      <c r="L103" s="93">
        <f>SUM(K103:K104)</f>
        <v>1037000</v>
      </c>
      <c r="M103" s="142"/>
      <c r="N103" s="143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71"/>
      <c r="B104" s="30" t="s">
        <v>89</v>
      </c>
      <c r="C104" s="30" t="s">
        <v>67</v>
      </c>
      <c r="D104" s="30" t="s">
        <v>61</v>
      </c>
      <c r="E104" s="30" t="s">
        <v>62</v>
      </c>
      <c r="F104" s="87" t="s">
        <v>63</v>
      </c>
      <c r="G104" s="87" t="s">
        <v>90</v>
      </c>
      <c r="H104" s="87" t="s">
        <v>91</v>
      </c>
      <c r="I104" s="34">
        <v>100.0</v>
      </c>
      <c r="J104" s="31">
        <v>2180.0</v>
      </c>
      <c r="K104" s="31">
        <v>218000.0</v>
      </c>
      <c r="L104" s="71"/>
      <c r="M104" s="142"/>
      <c r="N104" s="143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92" t="s">
        <v>92</v>
      </c>
      <c r="B105" s="30" t="s">
        <v>680</v>
      </c>
      <c r="C105" s="30" t="s">
        <v>101</v>
      </c>
      <c r="D105" s="30" t="s">
        <v>61</v>
      </c>
      <c r="E105" s="30" t="s">
        <v>62</v>
      </c>
      <c r="F105" s="87" t="s">
        <v>63</v>
      </c>
      <c r="G105" s="87" t="s">
        <v>681</v>
      </c>
      <c r="H105" s="87" t="s">
        <v>682</v>
      </c>
      <c r="I105" s="34">
        <v>192.0</v>
      </c>
      <c r="J105" s="31">
        <v>4800.0</v>
      </c>
      <c r="K105" s="31">
        <v>921600.0</v>
      </c>
      <c r="L105" s="93">
        <f>SUM(K105:K106)</f>
        <v>1806240</v>
      </c>
      <c r="M105" s="142"/>
      <c r="N105" s="143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71"/>
      <c r="B106" s="30" t="s">
        <v>683</v>
      </c>
      <c r="C106" s="30" t="s">
        <v>98</v>
      </c>
      <c r="D106" s="30" t="s">
        <v>61</v>
      </c>
      <c r="E106" s="30" t="s">
        <v>62</v>
      </c>
      <c r="F106" s="87" t="s">
        <v>63</v>
      </c>
      <c r="G106" s="87" t="s">
        <v>592</v>
      </c>
      <c r="H106" s="87" t="s">
        <v>593</v>
      </c>
      <c r="I106" s="34">
        <v>456.0</v>
      </c>
      <c r="J106" s="31">
        <v>1940.0</v>
      </c>
      <c r="K106" s="31">
        <v>884640.0</v>
      </c>
      <c r="L106" s="71"/>
      <c r="M106" s="142"/>
      <c r="N106" s="143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92" t="s">
        <v>96</v>
      </c>
      <c r="B107" s="30" t="s">
        <v>211</v>
      </c>
      <c r="C107" s="30" t="s">
        <v>189</v>
      </c>
      <c r="D107" s="30" t="s">
        <v>105</v>
      </c>
      <c r="E107" s="30" t="s">
        <v>62</v>
      </c>
      <c r="F107" s="87" t="s">
        <v>63</v>
      </c>
      <c r="G107" s="87" t="s">
        <v>318</v>
      </c>
      <c r="H107" s="87" t="s">
        <v>319</v>
      </c>
      <c r="I107" s="34">
        <v>12.0</v>
      </c>
      <c r="J107" s="31">
        <v>4500.0</v>
      </c>
      <c r="K107" s="31">
        <v>54000.0</v>
      </c>
      <c r="L107" s="93">
        <f>SUM(K107:K109)</f>
        <v>773700</v>
      </c>
      <c r="M107" s="142"/>
      <c r="N107" s="143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439</v>
      </c>
      <c r="C108" s="30" t="s">
        <v>67</v>
      </c>
      <c r="D108" s="30" t="s">
        <v>61</v>
      </c>
      <c r="E108" s="30" t="s">
        <v>185</v>
      </c>
      <c r="F108" s="87" t="s">
        <v>63</v>
      </c>
      <c r="G108" s="87" t="s">
        <v>684</v>
      </c>
      <c r="H108" s="87" t="s">
        <v>685</v>
      </c>
      <c r="I108" s="34">
        <v>4.0</v>
      </c>
      <c r="J108" s="31">
        <v>146300.0</v>
      </c>
      <c r="K108" s="31">
        <v>585200.0</v>
      </c>
      <c r="L108" s="64"/>
      <c r="M108" s="142"/>
      <c r="N108" s="143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71"/>
      <c r="B109" s="30" t="s">
        <v>445</v>
      </c>
      <c r="C109" s="30" t="s">
        <v>98</v>
      </c>
      <c r="D109" s="30" t="s">
        <v>61</v>
      </c>
      <c r="E109" s="30" t="s">
        <v>62</v>
      </c>
      <c r="F109" s="87" t="s">
        <v>71</v>
      </c>
      <c r="G109" s="87" t="s">
        <v>686</v>
      </c>
      <c r="H109" s="87" t="s">
        <v>687</v>
      </c>
      <c r="I109" s="34">
        <v>50.0</v>
      </c>
      <c r="J109" s="31">
        <v>2690.0</v>
      </c>
      <c r="K109" s="31">
        <v>134500.0</v>
      </c>
      <c r="L109" s="71"/>
      <c r="M109" s="142"/>
      <c r="N109" s="143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2" t="s">
        <v>99</v>
      </c>
      <c r="B110" s="30" t="s">
        <v>100</v>
      </c>
      <c r="C110" s="30" t="s">
        <v>101</v>
      </c>
      <c r="D110" s="30" t="s">
        <v>61</v>
      </c>
      <c r="E110" s="30" t="s">
        <v>62</v>
      </c>
      <c r="F110" s="87" t="s">
        <v>63</v>
      </c>
      <c r="G110" s="87" t="s">
        <v>688</v>
      </c>
      <c r="H110" s="87" t="s">
        <v>689</v>
      </c>
      <c r="I110" s="34">
        <v>72.0</v>
      </c>
      <c r="J110" s="31">
        <v>5310.0</v>
      </c>
      <c r="K110" s="31">
        <v>382320.0</v>
      </c>
      <c r="L110" s="93">
        <f>SUM(K110:K111)</f>
        <v>899520</v>
      </c>
      <c r="M110" s="142"/>
      <c r="N110" s="143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71"/>
      <c r="B111" s="30" t="s">
        <v>404</v>
      </c>
      <c r="C111" s="30" t="s">
        <v>405</v>
      </c>
      <c r="D111" s="30" t="s">
        <v>61</v>
      </c>
      <c r="E111" s="30" t="s">
        <v>62</v>
      </c>
      <c r="F111" s="87" t="s">
        <v>63</v>
      </c>
      <c r="G111" s="87" t="s">
        <v>107</v>
      </c>
      <c r="H111" s="87" t="s">
        <v>108</v>
      </c>
      <c r="I111" s="34">
        <v>120.0</v>
      </c>
      <c r="J111" s="31">
        <v>4310.0</v>
      </c>
      <c r="K111" s="31">
        <v>517200.0</v>
      </c>
      <c r="L111" s="71"/>
      <c r="M111" s="142"/>
      <c r="N111" s="143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87" t="s">
        <v>175</v>
      </c>
      <c r="B112" s="30" t="s">
        <v>176</v>
      </c>
      <c r="C112" s="30" t="s">
        <v>177</v>
      </c>
      <c r="D112" s="30" t="s">
        <v>148</v>
      </c>
      <c r="E112" s="30" t="s">
        <v>62</v>
      </c>
      <c r="F112" s="87" t="s">
        <v>63</v>
      </c>
      <c r="G112" s="87" t="s">
        <v>477</v>
      </c>
      <c r="H112" s="87" t="s">
        <v>478</v>
      </c>
      <c r="I112" s="34">
        <v>16.0</v>
      </c>
      <c r="J112" s="31">
        <v>8000.0</v>
      </c>
      <c r="K112" s="31">
        <v>128000.0</v>
      </c>
      <c r="L112" s="91">
        <f>SUM(K112)</f>
        <v>128000</v>
      </c>
      <c r="M112" s="142"/>
      <c r="N112" s="143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92" t="s">
        <v>182</v>
      </c>
      <c r="B113" s="30" t="s">
        <v>372</v>
      </c>
      <c r="C113" s="30" t="s">
        <v>98</v>
      </c>
      <c r="D113" s="30" t="s">
        <v>85</v>
      </c>
      <c r="E113" s="30" t="s">
        <v>106</v>
      </c>
      <c r="F113" s="87" t="s">
        <v>63</v>
      </c>
      <c r="G113" s="87" t="s">
        <v>373</v>
      </c>
      <c r="H113" s="87" t="s">
        <v>374</v>
      </c>
      <c r="I113" s="34">
        <v>230.0</v>
      </c>
      <c r="J113" s="31">
        <v>5660.0</v>
      </c>
      <c r="K113" s="31">
        <v>1301800.0</v>
      </c>
      <c r="L113" s="93">
        <f>SUM(K113:K118)</f>
        <v>1732640</v>
      </c>
      <c r="M113" s="142"/>
      <c r="N113" s="14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30" t="s">
        <v>339</v>
      </c>
      <c r="C114" s="30" t="s">
        <v>340</v>
      </c>
      <c r="D114" s="30" t="s">
        <v>61</v>
      </c>
      <c r="E114" s="30" t="s">
        <v>62</v>
      </c>
      <c r="F114" s="87" t="s">
        <v>63</v>
      </c>
      <c r="G114" s="87" t="s">
        <v>348</v>
      </c>
      <c r="H114" s="87" t="s">
        <v>349</v>
      </c>
      <c r="I114" s="34">
        <v>70.0</v>
      </c>
      <c r="J114" s="31">
        <v>1500.0</v>
      </c>
      <c r="K114" s="31">
        <v>105000.0</v>
      </c>
      <c r="L114" s="64"/>
      <c r="M114" s="142"/>
      <c r="N114" s="143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339</v>
      </c>
      <c r="C115" s="30" t="s">
        <v>340</v>
      </c>
      <c r="D115" s="30" t="s">
        <v>61</v>
      </c>
      <c r="E115" s="30" t="s">
        <v>62</v>
      </c>
      <c r="F115" s="87" t="s">
        <v>63</v>
      </c>
      <c r="G115" s="87" t="s">
        <v>346</v>
      </c>
      <c r="H115" s="87" t="s">
        <v>347</v>
      </c>
      <c r="I115" s="34">
        <v>10.0</v>
      </c>
      <c r="J115" s="31">
        <v>1300.0</v>
      </c>
      <c r="K115" s="31">
        <v>13000.0</v>
      </c>
      <c r="L115" s="64"/>
      <c r="M115" s="142"/>
      <c r="N115" s="143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339</v>
      </c>
      <c r="C116" s="30" t="s">
        <v>340</v>
      </c>
      <c r="D116" s="30" t="s">
        <v>61</v>
      </c>
      <c r="E116" s="30" t="s">
        <v>62</v>
      </c>
      <c r="F116" s="87" t="s">
        <v>63</v>
      </c>
      <c r="G116" s="87" t="s">
        <v>350</v>
      </c>
      <c r="H116" s="87" t="s">
        <v>351</v>
      </c>
      <c r="I116" s="34">
        <v>10.0</v>
      </c>
      <c r="J116" s="31">
        <v>1400.0</v>
      </c>
      <c r="K116" s="31">
        <v>14000.0</v>
      </c>
      <c r="L116" s="64"/>
      <c r="M116" s="142"/>
      <c r="N116" s="143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339</v>
      </c>
      <c r="C117" s="30" t="s">
        <v>340</v>
      </c>
      <c r="D117" s="30" t="s">
        <v>61</v>
      </c>
      <c r="E117" s="30" t="s">
        <v>62</v>
      </c>
      <c r="F117" s="87" t="s">
        <v>63</v>
      </c>
      <c r="G117" s="87" t="s">
        <v>542</v>
      </c>
      <c r="H117" s="87" t="s">
        <v>543</v>
      </c>
      <c r="I117" s="34">
        <v>4.0</v>
      </c>
      <c r="J117" s="31">
        <v>3250.0</v>
      </c>
      <c r="K117" s="31">
        <v>13000.0</v>
      </c>
      <c r="L117" s="64"/>
      <c r="M117" s="142"/>
      <c r="N117" s="143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71"/>
      <c r="B118" s="30" t="s">
        <v>339</v>
      </c>
      <c r="C118" s="30" t="s">
        <v>340</v>
      </c>
      <c r="D118" s="30" t="s">
        <v>61</v>
      </c>
      <c r="E118" s="30" t="s">
        <v>62</v>
      </c>
      <c r="F118" s="87" t="s">
        <v>63</v>
      </c>
      <c r="G118" s="87" t="s">
        <v>690</v>
      </c>
      <c r="H118" s="87" t="s">
        <v>691</v>
      </c>
      <c r="I118" s="34">
        <v>72.0</v>
      </c>
      <c r="J118" s="31">
        <v>3970.0</v>
      </c>
      <c r="K118" s="31">
        <v>285840.0</v>
      </c>
      <c r="L118" s="71"/>
      <c r="M118" s="142"/>
      <c r="N118" s="143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hidden="1" customHeight="1">
      <c r="A119" s="145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174"/>
      <c r="M119" s="142"/>
      <c r="N119" s="143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hidden="1" customHeight="1">
      <c r="A120" s="145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174"/>
      <c r="M120" s="142"/>
      <c r="N120" s="143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45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74"/>
      <c r="M121" s="142"/>
      <c r="N121" s="143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145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74"/>
      <c r="M122" s="142"/>
      <c r="N122" s="143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145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174"/>
      <c r="M123" s="142"/>
      <c r="N123" s="143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145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74"/>
      <c r="M124" s="142"/>
      <c r="N124" s="143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145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174"/>
      <c r="M125" s="142"/>
      <c r="N125" s="143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146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175"/>
      <c r="M126" s="142"/>
      <c r="N126" s="143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87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91"/>
      <c r="M127" s="142"/>
      <c r="N127" s="143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92"/>
      <c r="B128" s="148"/>
      <c r="C128" s="30"/>
      <c r="D128" s="30"/>
      <c r="E128" s="30"/>
      <c r="F128" s="87"/>
      <c r="G128" s="87"/>
      <c r="H128" s="87"/>
      <c r="I128" s="34"/>
      <c r="J128" s="31"/>
      <c r="K128" s="31"/>
      <c r="L128" s="93"/>
      <c r="M128" s="142"/>
      <c r="N128" s="143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71"/>
      <c r="B129" s="148"/>
      <c r="C129" s="30"/>
      <c r="D129" s="30"/>
      <c r="E129" s="30"/>
      <c r="F129" s="87"/>
      <c r="G129" s="87"/>
      <c r="H129" s="87"/>
      <c r="I129" s="34"/>
      <c r="J129" s="31"/>
      <c r="K129" s="31"/>
      <c r="L129" s="71"/>
      <c r="M129" s="142"/>
      <c r="N129" s="143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7.25" customHeight="1">
      <c r="A130" s="150" t="str">
        <f>MID(CELL("filename",$A$1),FIND("]",CELL("filename",$A$1))+1,100)&amp;" TOTAL"</f>
        <v>#VALUE!</v>
      </c>
      <c r="B130" s="151"/>
      <c r="C130" s="151"/>
      <c r="D130" s="151"/>
      <c r="E130" s="151"/>
      <c r="F130" s="97"/>
      <c r="G130" s="97"/>
      <c r="H130" s="97"/>
      <c r="I130" s="151"/>
      <c r="J130" s="152"/>
      <c r="K130" s="100">
        <f t="shared" ref="K130:L130" si="8">SUM(K85:K129)</f>
        <v>9009410</v>
      </c>
      <c r="L130" s="100">
        <f t="shared" si="8"/>
        <v>9009410</v>
      </c>
      <c r="M130" s="153"/>
      <c r="N130" s="15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70"/>
      <c r="I136" s="42"/>
      <c r="J136" s="42"/>
      <c r="K136" s="42"/>
      <c r="L136" s="42"/>
      <c r="M136" s="43"/>
      <c r="N136" s="44"/>
      <c r="O136" s="4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155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55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9"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5:C17"/>
    <mergeCell ref="D15:D17"/>
    <mergeCell ref="C23:C25"/>
    <mergeCell ref="A35:N35"/>
    <mergeCell ref="N37:N40"/>
    <mergeCell ref="B64:B65"/>
    <mergeCell ref="A66:J66"/>
    <mergeCell ref="A73:J73"/>
    <mergeCell ref="A83:N83"/>
    <mergeCell ref="M84:N84"/>
    <mergeCell ref="A85:A88"/>
    <mergeCell ref="A90:A101"/>
    <mergeCell ref="A103:A104"/>
    <mergeCell ref="A105:A106"/>
    <mergeCell ref="A107:A109"/>
    <mergeCell ref="A110:A111"/>
    <mergeCell ref="A113:A118"/>
    <mergeCell ref="A128:A129"/>
    <mergeCell ref="A37:A40"/>
    <mergeCell ref="A41:A42"/>
    <mergeCell ref="A44:A45"/>
    <mergeCell ref="A47:A48"/>
    <mergeCell ref="A49:A54"/>
    <mergeCell ref="A56:A57"/>
    <mergeCell ref="A64:A65"/>
    <mergeCell ref="L85:L88"/>
    <mergeCell ref="L90:L101"/>
    <mergeCell ref="L103:L104"/>
    <mergeCell ref="L105:L106"/>
    <mergeCell ref="L107:L109"/>
    <mergeCell ref="L110:L111"/>
    <mergeCell ref="L113:L118"/>
    <mergeCell ref="L128:L129"/>
    <mergeCell ref="N41:N42"/>
    <mergeCell ref="N44:N45"/>
    <mergeCell ref="N47:N48"/>
    <mergeCell ref="N49:N54"/>
    <mergeCell ref="N56:N57"/>
    <mergeCell ref="L64:L65"/>
    <mergeCell ref="L69:L72"/>
  </mergeCells>
  <conditionalFormatting sqref="D19:D28 F34:F1000">
    <cfRule type="containsText" dxfId="0" priority="1" operator="containsText" text="NO LOGO">
      <formula>NOT(ISERROR(SEARCH(("NO LOGO"),(D19))))</formula>
    </cfRule>
  </conditionalFormatting>
  <conditionalFormatting sqref="D19:D28 F34:F1000">
    <cfRule type="containsText" dxfId="1" priority="2" operator="containsText" text="BLUE">
      <formula>NOT(ISERROR(SEARCH(("BLUE"),(D19))))</formula>
    </cfRule>
  </conditionalFormatting>
  <conditionalFormatting sqref="D19:D28 F34:F1000">
    <cfRule type="containsText" dxfId="2" priority="3" operator="containsText" text="RED">
      <formula>NOT(ISERROR(SEARCH(("RED"),(D19))))</formula>
    </cfRule>
  </conditionalFormatting>
  <conditionalFormatting sqref="E13:E18 E29:E33">
    <cfRule type="containsText" dxfId="0" priority="4" operator="containsText" text="NO LOGO">
      <formula>NOT(ISERROR(SEARCH(("NO LOGO"),(E13))))</formula>
    </cfRule>
  </conditionalFormatting>
  <conditionalFormatting sqref="E13:E18 E29:E33">
    <cfRule type="containsText" dxfId="1" priority="5" operator="containsText" text="BLUE">
      <formula>NOT(ISERROR(SEARCH(("BLUE"),(E13))))</formula>
    </cfRule>
  </conditionalFormatting>
  <conditionalFormatting sqref="E13:E18 E29:E33">
    <cfRule type="containsText" dxfId="2" priority="6" operator="containsText" text="RED">
      <formula>NOT(ISERROR(SEARCH(("RED"),(E13))))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2">
    <cfRule type="containsText" dxfId="0" priority="10" operator="containsText" text="NO LOGO">
      <formula>NOT(ISERROR(SEARCH(("NO LOGO"),(F12))))</formula>
    </cfRule>
  </conditionalFormatting>
  <conditionalFormatting sqref="F12">
    <cfRule type="containsText" dxfId="1" priority="11" operator="containsText" text="BLUE">
      <formula>NOT(ISERROR(SEARCH(("BLUE"),(F12))))</formula>
    </cfRule>
  </conditionalFormatting>
  <conditionalFormatting sqref="F12">
    <cfRule type="containsText" dxfId="2" priority="12" operator="containsText" text="RED">
      <formula>NOT(ISERROR(SEARCH(("RED"),(F12))))</formula>
    </cfRule>
  </conditionalFormatting>
  <printOptions/>
  <pageMargins bottom="0.75" footer="0.0" header="0.0" left="0.7" right="0.7" top="0.75"/>
  <pageSetup paperSize="9" orientation="portrait"/>
  <drawing r:id="rId1"/>
</worksheet>
</file>