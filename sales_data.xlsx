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20250428~ 尹會承\Order Sales List\"/>
    </mc:Choice>
  </mc:AlternateContent>
  <xr:revisionPtr revIDLastSave="0" documentId="13_ncr:1_{B9651A97-FDA7-4068-885A-0FAD80B1FE78}" xr6:coauthVersionLast="47" xr6:coauthVersionMax="47" xr10:uidLastSave="{00000000-0000-0000-0000-000000000000}"/>
  <bookViews>
    <workbookView xWindow="-120" yWindow="-120" windowWidth="29040" windowHeight="15720" tabRatio="809" xr2:uid="{1AD7B4A5-C76E-4EB2-942B-4F094023A620}"/>
  </bookViews>
  <sheets>
    <sheet name="2025.12.3(WED)" sheetId="201" r:id="rId1"/>
    <sheet name="2025.12.2(TUE)" sheetId="200" r:id="rId2"/>
    <sheet name="2025.12.1(MON)" sheetId="199" r:id="rId3"/>
  </sheets>
  <definedNames>
    <definedName name="_xlnm._FilterDatabase" localSheetId="2" hidden="1">'2025.12.1(MON)'!$A$84:$R$84</definedName>
    <definedName name="_xlnm._FilterDatabase" localSheetId="1" hidden="1">'2025.12.2(TUE)'!$A$77:$R$77</definedName>
    <definedName name="_xlnm._FilterDatabase" localSheetId="0" hidden="1">'2025.12.3(WED)'!$A$86:$R$86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0" i="201" l="1"/>
  <c r="L109" i="201"/>
  <c r="L104" i="201"/>
  <c r="L101" i="201"/>
  <c r="L98" i="201"/>
  <c r="L97" i="201"/>
  <c r="L90" i="201"/>
  <c r="L88" i="201"/>
  <c r="L87" i="201"/>
  <c r="N39" i="201"/>
  <c r="N54" i="201"/>
  <c r="N51" i="201"/>
  <c r="N48" i="201"/>
  <c r="N47" i="201"/>
  <c r="N46" i="201"/>
  <c r="K113" i="201"/>
  <c r="A113" i="201"/>
  <c r="L75" i="201"/>
  <c r="D16" i="201" s="1"/>
  <c r="D20" i="201" s="1"/>
  <c r="K75" i="201"/>
  <c r="L68" i="201"/>
  <c r="C16" i="201" s="1"/>
  <c r="C20" i="201" s="1"/>
  <c r="K68" i="201"/>
  <c r="M60" i="201"/>
  <c r="A60" i="201"/>
  <c r="A75" i="201" s="1"/>
  <c r="B35" i="201"/>
  <c r="C34" i="201"/>
  <c r="D33" i="201"/>
  <c r="C33" i="201"/>
  <c r="D32" i="201"/>
  <c r="D35" i="201" s="1"/>
  <c r="C32" i="201"/>
  <c r="E32" i="201" s="1"/>
  <c r="B27" i="201"/>
  <c r="D27" i="201" s="1"/>
  <c r="B26" i="201"/>
  <c r="D26" i="201" s="1"/>
  <c r="B25" i="201"/>
  <c r="D25" i="201" s="1"/>
  <c r="C24" i="201"/>
  <c r="C28" i="201" s="1"/>
  <c r="B24" i="201"/>
  <c r="B19" i="201"/>
  <c r="E19" i="201" s="1"/>
  <c r="B18" i="201"/>
  <c r="E18" i="201" s="1"/>
  <c r="B17" i="201"/>
  <c r="E17" i="201" s="1"/>
  <c r="B16" i="201"/>
  <c r="N48" i="200"/>
  <c r="N47" i="200"/>
  <c r="N45" i="200"/>
  <c r="N43" i="200"/>
  <c r="N42" i="200"/>
  <c r="N41" i="200"/>
  <c r="N39" i="200"/>
  <c r="N38" i="200"/>
  <c r="K91" i="200"/>
  <c r="A91" i="200"/>
  <c r="L78" i="200"/>
  <c r="L66" i="200"/>
  <c r="D15" i="200" s="1"/>
  <c r="D19" i="200" s="1"/>
  <c r="K66" i="200"/>
  <c r="M51" i="200"/>
  <c r="A51" i="200"/>
  <c r="A59" i="200" s="1"/>
  <c r="B34" i="200"/>
  <c r="C33" i="200"/>
  <c r="E33" i="200" s="1"/>
  <c r="D32" i="200"/>
  <c r="C32" i="200"/>
  <c r="D31" i="200"/>
  <c r="C31" i="200"/>
  <c r="B26" i="200"/>
  <c r="D26" i="200" s="1"/>
  <c r="B25" i="200"/>
  <c r="D25" i="200" s="1"/>
  <c r="B24" i="200"/>
  <c r="D24" i="200" s="1"/>
  <c r="C23" i="200"/>
  <c r="C27" i="200" s="1"/>
  <c r="B23" i="200"/>
  <c r="B18" i="200"/>
  <c r="E18" i="200" s="1"/>
  <c r="B17" i="200"/>
  <c r="E17" i="200" s="1"/>
  <c r="B16" i="200"/>
  <c r="E16" i="200" s="1"/>
  <c r="B15" i="200"/>
  <c r="C32" i="199"/>
  <c r="C31" i="199"/>
  <c r="C30" i="199"/>
  <c r="L64" i="199"/>
  <c r="K65" i="199"/>
  <c r="K64" i="199"/>
  <c r="L113" i="201" l="1"/>
  <c r="E33" i="201"/>
  <c r="E16" i="201"/>
  <c r="E20" i="201" s="1"/>
  <c r="C35" i="201"/>
  <c r="N60" i="201"/>
  <c r="B28" i="201"/>
  <c r="B20" i="201"/>
  <c r="E34" i="201"/>
  <c r="E35" i="201" s="1"/>
  <c r="D24" i="201"/>
  <c r="D28" i="201" s="1"/>
  <c r="A68" i="201"/>
  <c r="D23" i="200"/>
  <c r="E32" i="200"/>
  <c r="D27" i="200"/>
  <c r="N51" i="200"/>
  <c r="B19" i="200"/>
  <c r="K59" i="200"/>
  <c r="L91" i="200"/>
  <c r="C34" i="200"/>
  <c r="D34" i="200"/>
  <c r="E31" i="200"/>
  <c r="E34" i="200" s="1"/>
  <c r="A66" i="200"/>
  <c r="B27" i="200"/>
  <c r="L59" i="200"/>
  <c r="C15" i="200" s="1"/>
  <c r="L113" i="199"/>
  <c r="L112" i="199"/>
  <c r="L110" i="199"/>
  <c r="L107" i="199"/>
  <c r="L105" i="199"/>
  <c r="L103" i="199"/>
  <c r="L102" i="199"/>
  <c r="L90" i="199"/>
  <c r="L89" i="199"/>
  <c r="L85" i="199"/>
  <c r="N56" i="199"/>
  <c r="N55" i="199"/>
  <c r="N49" i="199"/>
  <c r="N47" i="199"/>
  <c r="N46" i="199"/>
  <c r="N44" i="199"/>
  <c r="N43" i="199"/>
  <c r="N41" i="199"/>
  <c r="N37" i="199"/>
  <c r="C19" i="200" l="1"/>
  <c r="E15" i="200"/>
  <c r="E19" i="200" s="1"/>
  <c r="L130" i="199"/>
  <c r="K130" i="199"/>
  <c r="A130" i="199"/>
  <c r="L73" i="199"/>
  <c r="D14" i="199" s="1"/>
  <c r="D18" i="199" s="1"/>
  <c r="K73" i="199"/>
  <c r="L66" i="199"/>
  <c r="C14" i="199" s="1"/>
  <c r="C18" i="199" s="1"/>
  <c r="K66" i="199"/>
  <c r="M58" i="199"/>
  <c r="A58" i="199"/>
  <c r="A73" i="199" s="1"/>
  <c r="B33" i="199"/>
  <c r="E32" i="199"/>
  <c r="D31" i="199"/>
  <c r="D30" i="199"/>
  <c r="B25" i="199"/>
  <c r="D25" i="199" s="1"/>
  <c r="B24" i="199"/>
  <c r="D24" i="199" s="1"/>
  <c r="B23" i="199"/>
  <c r="D23" i="199" s="1"/>
  <c r="C22" i="199"/>
  <c r="C26" i="199" s="1"/>
  <c r="B22" i="199"/>
  <c r="B17" i="199"/>
  <c r="E17" i="199" s="1"/>
  <c r="B16" i="199"/>
  <c r="E16" i="199" s="1"/>
  <c r="B15" i="199"/>
  <c r="E15" i="199" s="1"/>
  <c r="B14" i="199"/>
  <c r="N58" i="199" l="1"/>
  <c r="E30" i="199"/>
  <c r="C33" i="199"/>
  <c r="D33" i="199"/>
  <c r="B26" i="199"/>
  <c r="B18" i="199"/>
  <c r="E14" i="199"/>
  <c r="E18" i="199" s="1"/>
  <c r="E31" i="199"/>
  <c r="D22" i="199"/>
  <c r="D26" i="199" s="1"/>
  <c r="A66" i="199"/>
  <c r="E33" i="199" l="1"/>
</calcChain>
</file>

<file path=xl/sharedStrings.xml><?xml version="1.0" encoding="utf-8"?>
<sst xmlns="http://schemas.openxmlformats.org/spreadsheetml/2006/main" count="1262" uniqueCount="331">
  <si>
    <t>受注報告</t>
    <phoneticPr fontId="16" type="noConversion"/>
  </si>
  <si>
    <t>内容</t>
    <phoneticPr fontId="16" type="noConversion"/>
  </si>
  <si>
    <t>日本本社</t>
    <phoneticPr fontId="8" type="noConversion"/>
  </si>
  <si>
    <t>TOTAL</t>
    <phoneticPr fontId="16" type="noConversion"/>
  </si>
  <si>
    <t>RED CONVUM</t>
    <phoneticPr fontId="16" type="noConversion"/>
  </si>
  <si>
    <t>BLUE CONVUM</t>
    <phoneticPr fontId="16" type="noConversion"/>
  </si>
  <si>
    <t>OEM</t>
    <phoneticPr fontId="16" type="noConversion"/>
  </si>
  <si>
    <t>NO LOGO</t>
    <phoneticPr fontId="16" type="noConversion"/>
  </si>
  <si>
    <r>
      <t>全体受注</t>
    </r>
    <r>
      <rPr>
        <b/>
        <sz val="10"/>
        <rFont val="맑은 고딕"/>
        <family val="2"/>
        <charset val="128"/>
        <scheme val="minor"/>
      </rPr>
      <t>残</t>
    </r>
    <r>
      <rPr>
        <b/>
        <sz val="10"/>
        <rFont val="맑은 고딕"/>
        <family val="3"/>
        <charset val="129"/>
        <scheme val="minor"/>
      </rPr>
      <t>高</t>
    </r>
    <phoneticPr fontId="16" type="noConversion"/>
  </si>
  <si>
    <t>売上報告</t>
    <phoneticPr fontId="16" type="noConversion"/>
  </si>
  <si>
    <r>
      <t>受注</t>
    </r>
    <r>
      <rPr>
        <b/>
        <u/>
        <sz val="10"/>
        <rFont val="맑은 고딕"/>
        <family val="3"/>
        <charset val="128"/>
        <scheme val="minor"/>
      </rPr>
      <t>残</t>
    </r>
    <r>
      <rPr>
        <b/>
        <u/>
        <sz val="10"/>
        <rFont val="맑은 고딕"/>
        <family val="3"/>
        <charset val="129"/>
        <scheme val="minor"/>
      </rPr>
      <t>報告</t>
    </r>
    <phoneticPr fontId="16" type="noConversion"/>
  </si>
  <si>
    <t>通常</t>
  </si>
  <si>
    <t>受注明細</t>
    <phoneticPr fontId="8" type="noConversion"/>
  </si>
  <si>
    <t>販賣店</t>
  </si>
  <si>
    <t>USER</t>
  </si>
  <si>
    <t>BUSINESS FIELD</t>
  </si>
  <si>
    <t>営業担当者</t>
  </si>
  <si>
    <t>SECTION</t>
  </si>
  <si>
    <t>BRAND
 COLOR</t>
  </si>
  <si>
    <t>CODE</t>
  </si>
  <si>
    <t>MODEL</t>
  </si>
  <si>
    <t>Q'TY</t>
  </si>
  <si>
    <t>UNIT(KRW)</t>
  </si>
  <si>
    <t>AMOUNT(KRW)</t>
  </si>
  <si>
    <t>販賣店別合計(KRW)</t>
  </si>
  <si>
    <t>受注明細(海外向け)</t>
    <phoneticPr fontId="16" type="noConversion"/>
  </si>
  <si>
    <t>USER</t>
    <phoneticPr fontId="23" type="noConversion"/>
  </si>
  <si>
    <t>BUSINESS FIELD</t>
    <phoneticPr fontId="23" type="noConversion"/>
  </si>
  <si>
    <r>
      <rPr>
        <b/>
        <sz val="10"/>
        <rFont val="맑은 고딕"/>
        <family val="2"/>
        <scheme val="minor"/>
      </rPr>
      <t>営</t>
    </r>
    <r>
      <rPr>
        <b/>
        <sz val="10"/>
        <rFont val="맑은 고딕"/>
        <family val="3"/>
        <charset val="129"/>
        <scheme val="minor"/>
      </rPr>
      <t>業担</t>
    </r>
    <r>
      <rPr>
        <b/>
        <sz val="10"/>
        <rFont val="맑은 고딕"/>
        <family val="2"/>
        <scheme val="minor"/>
      </rPr>
      <t>当</t>
    </r>
    <r>
      <rPr>
        <b/>
        <sz val="10"/>
        <rFont val="맑은 고딕"/>
        <family val="3"/>
        <charset val="129"/>
        <scheme val="minor"/>
      </rPr>
      <t>者</t>
    </r>
  </si>
  <si>
    <t>BLAND COLOR</t>
    <phoneticPr fontId="16" type="noConversion"/>
  </si>
  <si>
    <t>UNIT(JPY)</t>
    <phoneticPr fontId="16" type="noConversion"/>
  </si>
  <si>
    <t>AMOUNT(JPY)</t>
    <phoneticPr fontId="16" type="noConversion"/>
  </si>
  <si>
    <t>販賣店別合計(JPY)</t>
    <phoneticPr fontId="16" type="noConversion"/>
  </si>
  <si>
    <t>REMARK</t>
  </si>
  <si>
    <t>RED</t>
  </si>
  <si>
    <t>BRAND COLOR</t>
    <phoneticPr fontId="16" type="noConversion"/>
  </si>
  <si>
    <t>UNIT(USD)</t>
    <phoneticPr fontId="16" type="noConversion"/>
  </si>
  <si>
    <t>AMOUNT(USD)</t>
    <phoneticPr fontId="16" type="noConversion"/>
  </si>
  <si>
    <t>販賣店別合計(USD)</t>
    <phoneticPr fontId="16" type="noConversion"/>
  </si>
  <si>
    <t>REMARK</t>
    <phoneticPr fontId="16" type="noConversion"/>
  </si>
  <si>
    <t>賣上明細</t>
    <phoneticPr fontId="16" type="noConversion"/>
  </si>
  <si>
    <t>販賣店</t>
    <phoneticPr fontId="16" type="noConversion"/>
  </si>
  <si>
    <r>
      <rPr>
        <b/>
        <sz val="10"/>
        <rFont val="맑은 고딕"/>
        <family val="3"/>
        <charset val="128"/>
        <scheme val="minor"/>
      </rPr>
      <t>営</t>
    </r>
    <r>
      <rPr>
        <b/>
        <sz val="10"/>
        <rFont val="맑은 고딕"/>
        <family val="3"/>
        <charset val="129"/>
        <scheme val="minor"/>
      </rPr>
      <t>業担</t>
    </r>
    <r>
      <rPr>
        <b/>
        <sz val="10"/>
        <rFont val="맑은 고딕"/>
        <family val="3"/>
        <charset val="128"/>
        <scheme val="minor"/>
      </rPr>
      <t>当</t>
    </r>
    <r>
      <rPr>
        <b/>
        <sz val="10"/>
        <rFont val="맑은 고딕"/>
        <family val="3"/>
        <charset val="129"/>
        <scheme val="minor"/>
      </rPr>
      <t>者</t>
    </r>
    <phoneticPr fontId="16" type="noConversion"/>
  </si>
  <si>
    <t>BRAND
 COLOR</t>
    <phoneticPr fontId="16" type="noConversion"/>
  </si>
  <si>
    <t>AMOUNT
(KRW)</t>
    <phoneticPr fontId="16" type="noConversion"/>
  </si>
  <si>
    <t>製造</t>
  </si>
  <si>
    <t>stocks</t>
  </si>
  <si>
    <t>BLUE</t>
  </si>
  <si>
    <r>
      <rPr>
        <b/>
        <sz val="10"/>
        <rFont val="맑은 고딕"/>
        <family val="1"/>
        <charset val="129"/>
        <scheme val="minor"/>
      </rPr>
      <t>国内</t>
    </r>
    <phoneticPr fontId="8" type="noConversion"/>
  </si>
  <si>
    <t>販賣金額進步</t>
  </si>
  <si>
    <t>( 單位 : KRW )</t>
  </si>
  <si>
    <t>販賣實積合計</t>
  </si>
  <si>
    <t>豫算</t>
  </si>
  <si>
    <t>豫測</t>
  </si>
  <si>
    <t>實積對豫算達成率</t>
  </si>
  <si>
    <t>實積對豫測達成率</t>
  </si>
  <si>
    <t>全體</t>
  </si>
  <si>
    <t>國內販賣</t>
  </si>
  <si>
    <t>妙德販賣</t>
  </si>
  <si>
    <t>受注額</t>
  </si>
  <si>
    <t>賣上額</t>
  </si>
  <si>
    <t>김광중</t>
  </si>
  <si>
    <r>
      <rPr>
        <b/>
        <sz val="10"/>
        <rFont val="맑은 고딕"/>
        <family val="3"/>
        <charset val="128"/>
        <scheme val="minor"/>
      </rPr>
      <t>国内</t>
    </r>
    <phoneticPr fontId="8" type="noConversion"/>
  </si>
  <si>
    <t>MYOTOKU CHINA</t>
    <phoneticPr fontId="8" type="noConversion"/>
  </si>
  <si>
    <r>
      <rPr>
        <b/>
        <sz val="10"/>
        <rFont val="맑은 고딕"/>
        <family val="3"/>
        <charset val="129"/>
        <scheme val="minor"/>
      </rPr>
      <t>国内</t>
    </r>
    <phoneticPr fontId="8" type="noConversion"/>
  </si>
  <si>
    <t>製品名</t>
    <phoneticPr fontId="8" type="noConversion"/>
  </si>
  <si>
    <r>
      <rPr>
        <b/>
        <sz val="10"/>
        <rFont val="MS Mincho"/>
        <family val="3"/>
        <charset val="128"/>
      </rPr>
      <t>単価区</t>
    </r>
    <r>
      <rPr>
        <b/>
        <sz val="10"/>
        <rFont val="맑은 고딕"/>
        <family val="3"/>
        <charset val="129"/>
        <scheme val="minor"/>
      </rPr>
      <t>分</t>
    </r>
    <phoneticPr fontId="8" type="noConversion"/>
  </si>
  <si>
    <t>特値</t>
    <phoneticPr fontId="8" type="noConversion"/>
  </si>
  <si>
    <t xml:space="preserve"> </t>
    <phoneticPr fontId="8" type="noConversion"/>
  </si>
  <si>
    <r>
      <t>*本日</t>
    </r>
    <r>
      <rPr>
        <b/>
        <sz val="10"/>
        <rFont val="Noto Sans KR"/>
        <family val="3"/>
        <charset val="129"/>
      </rPr>
      <t>売</t>
    </r>
    <r>
      <rPr>
        <b/>
        <sz val="10"/>
        <rFont val="맑은 고딕"/>
        <family val="3"/>
        <charset val="129"/>
        <scheme val="minor"/>
      </rPr>
      <t>上はございません。</t>
    </r>
    <phoneticPr fontId="16" type="noConversion"/>
  </si>
  <si>
    <t>*海外向けは本日受注ございません。</t>
    <phoneticPr fontId="8" type="noConversion"/>
  </si>
  <si>
    <t>USEONG</t>
  </si>
  <si>
    <t>overseas purchase</t>
  </si>
  <si>
    <t>SUNGJUN</t>
  </si>
  <si>
    <t>YUHAN</t>
  </si>
  <si>
    <t>시스템알앤디(SYSTEM R&amp;D)</t>
  </si>
  <si>
    <t>Display關連裝備製造</t>
  </si>
  <si>
    <t>M-TECH</t>
  </si>
  <si>
    <t>탁현호</t>
  </si>
  <si>
    <t>products</t>
  </si>
  <si>
    <t>임성렬</t>
  </si>
  <si>
    <t>national purchase</t>
  </si>
  <si>
    <t>TPC</t>
  </si>
  <si>
    <t>流通</t>
  </si>
  <si>
    <t>GBB020209</t>
  </si>
  <si>
    <t>BPJG-10-S</t>
  </si>
  <si>
    <t>PROTEC</t>
  </si>
  <si>
    <t>프로텍시스템 1(PROTEC SYSTEM1)</t>
  </si>
  <si>
    <t>418000041</t>
  </si>
  <si>
    <t>MPS-ACCH9</t>
  </si>
  <si>
    <t>GBB020105</t>
  </si>
  <si>
    <t>BPJG-6-SE</t>
  </si>
  <si>
    <t>未回答分</t>
    <phoneticPr fontId="8" type="noConversion"/>
  </si>
  <si>
    <t>製造業</t>
  </si>
  <si>
    <t>GBB020003</t>
  </si>
  <si>
    <t>BPFG-10A-SE-ESD</t>
  </si>
  <si>
    <t>GBB020104</t>
  </si>
  <si>
    <t>BPJG-6-NE</t>
  </si>
  <si>
    <t>KCC</t>
  </si>
  <si>
    <t>GBB020210</t>
  </si>
  <si>
    <t>BPJG-10-SE</t>
  </si>
  <si>
    <t>GBB020060</t>
  </si>
  <si>
    <t>BPFG-3.5A-SE</t>
  </si>
  <si>
    <t>제이에스(JS)</t>
  </si>
  <si>
    <t>삼성전자(SAMSUNG)</t>
  </si>
  <si>
    <t>電子製品製造</t>
  </si>
  <si>
    <t>세광테크(SEKWANG TECH)</t>
  </si>
  <si>
    <t>半導體 裝備</t>
  </si>
  <si>
    <t>태성이엔지(TAESUNG E.N.G)</t>
  </si>
  <si>
    <t>대진기계(DAEJIN MACHINERY) 엠텍</t>
  </si>
  <si>
    <t>LCD?備製造</t>
  </si>
  <si>
    <t>서브원(SERVE ONE)M-TECH</t>
  </si>
  <si>
    <t>MRO B2B</t>
  </si>
  <si>
    <t>윤회승</t>
  </si>
  <si>
    <t>GBB030040</t>
  </si>
  <si>
    <t>BTN-PF-15-M5</t>
  </si>
  <si>
    <t>미래산업(MIRAE)</t>
  </si>
  <si>
    <t>GBB030042</t>
  </si>
  <si>
    <t>BTN-PF-20-M5</t>
  </si>
  <si>
    <t>GBB020063</t>
  </si>
  <si>
    <t>BPFG-3.5A-SE-ESD</t>
  </si>
  <si>
    <t>402200091</t>
  </si>
  <si>
    <t>MPS-P37R-PCA#</t>
  </si>
  <si>
    <t>에이시디(ACD)</t>
  </si>
  <si>
    <t>PB3350001</t>
  </si>
  <si>
    <t>BTN-PC-10-M5</t>
  </si>
  <si>
    <t>2025/12出荷分</t>
    <phoneticPr fontId="8" type="noConversion"/>
  </si>
  <si>
    <t>CHUNGHAE</t>
  </si>
  <si>
    <t>DAEDONG</t>
  </si>
  <si>
    <t>GBB020111</t>
  </si>
  <si>
    <t>BPJG-8-F</t>
  </si>
  <si>
    <t>테크윙(TECHWING)성준</t>
  </si>
  <si>
    <t>티피씨프라임(TPC PRIME)</t>
  </si>
  <si>
    <t>WOOSUNG PMT</t>
  </si>
  <si>
    <t>오에스티(OST)</t>
  </si>
  <si>
    <t>LCD, OLED 裝備 製造業</t>
  </si>
  <si>
    <t>NTS</t>
  </si>
  <si>
    <t>GCB030044</t>
  </si>
  <si>
    <t>TN-PS-10-M5-SUS-L</t>
  </si>
  <si>
    <t>S-TECH</t>
  </si>
  <si>
    <t>서브원(SERVE ONE)USEONG</t>
  </si>
  <si>
    <t>GBB020099</t>
  </si>
  <si>
    <t>BPJG-4-SE-ESD</t>
  </si>
  <si>
    <t>402200073</t>
  </si>
  <si>
    <t>MPS-V37R-NCA#</t>
  </si>
  <si>
    <t>GBB030038</t>
  </si>
  <si>
    <t>BTN-PS-10-M5</t>
  </si>
  <si>
    <t>GBB020119</t>
  </si>
  <si>
    <t>BPJG-15-S</t>
  </si>
  <si>
    <t>CONVUM LTD</t>
  </si>
  <si>
    <t>100300015</t>
  </si>
  <si>
    <t>UV280-4EZ</t>
  </si>
  <si>
    <t>112800006</t>
  </si>
  <si>
    <t>CA2-V4-6</t>
  </si>
  <si>
    <t>FOB</t>
  </si>
  <si>
    <t>엔티에스(NTS)</t>
  </si>
  <si>
    <t>半導?LED</t>
  </si>
  <si>
    <t>에스에스오트론(SS OTRON)</t>
  </si>
  <si>
    <t>半導?製造?備</t>
  </si>
  <si>
    <t>지아이베큠(GI Vaccum)</t>
  </si>
  <si>
    <t>태동산업(TAEDONG)성준</t>
  </si>
  <si>
    <t>GBB020132</t>
  </si>
  <si>
    <t>BPJG-20-SE</t>
  </si>
  <si>
    <t>서브원(SERVE ONE)TPC</t>
  </si>
  <si>
    <t>OEM</t>
  </si>
  <si>
    <t>PT1020012</t>
  </si>
  <si>
    <t>EB2S10HRZL4WSLR</t>
  </si>
  <si>
    <t>GBB020192</t>
  </si>
  <si>
    <t>BPFG-2A-SE</t>
  </si>
  <si>
    <t>GBB020038</t>
  </si>
  <si>
    <t>BPAG-30B-S</t>
  </si>
  <si>
    <t>GBB020110</t>
  </si>
  <si>
    <t>BPJG-8-S</t>
  </si>
  <si>
    <t>GBB020108</t>
  </si>
  <si>
    <t>BPJG-6-SE-ESD</t>
  </si>
  <si>
    <t>402100131</t>
  </si>
  <si>
    <t>MPS-H51ER-NCA</t>
  </si>
  <si>
    <t>신신테크(SHINSHIN)</t>
  </si>
  <si>
    <t>318100015</t>
  </si>
  <si>
    <t>TN-PF-25-M6</t>
  </si>
  <si>
    <t>야코(YACO)</t>
  </si>
  <si>
    <t>GBB020093</t>
  </si>
  <si>
    <t>BPJG-4-F</t>
  </si>
  <si>
    <t>GBB020072</t>
  </si>
  <si>
    <t>BPFG-8A-SE-ESD</t>
  </si>
  <si>
    <t>GBB020253</t>
  </si>
  <si>
    <t>BPCG-15-S</t>
  </si>
  <si>
    <t>GBB020188</t>
  </si>
  <si>
    <t>BPFG-2A-N</t>
  </si>
  <si>
    <t>티아이에스(TIS)</t>
  </si>
  <si>
    <t>PB1020245</t>
  </si>
  <si>
    <t>BMC22S07HSVGL5BLR</t>
  </si>
  <si>
    <t>로보스타(ROBO STAR)</t>
  </si>
  <si>
    <t>GBB020096</t>
  </si>
  <si>
    <t>BPJG-4-SE</t>
  </si>
  <si>
    <t>동주에이피(DONGJU AP)</t>
  </si>
  <si>
    <t>素材, 材料,電磁幷</t>
  </si>
  <si>
    <t>GBB020129</t>
  </si>
  <si>
    <t>BPJG-20-F</t>
  </si>
  <si>
    <t>GBB020109</t>
  </si>
  <si>
    <t>BPJG-8-N</t>
  </si>
  <si>
    <t>GBB020182</t>
  </si>
  <si>
    <t>BPCG-7-S</t>
  </si>
  <si>
    <t>제이와이시스템(JY SYSTEM)</t>
  </si>
  <si>
    <t>GBB020145</t>
  </si>
  <si>
    <t>BPFG-10A-S</t>
  </si>
  <si>
    <t>基準日 : 2025/12/01</t>
  </si>
  <si>
    <t>20251201 (月)</t>
  </si>
  <si>
    <t>12 月 合計</t>
  </si>
  <si>
    <t>신진엠텍(SHINJIN MTEC)충해전기</t>
  </si>
  <si>
    <t>케이에스티(KST)</t>
  </si>
  <si>
    <t>GBB020236</t>
  </si>
  <si>
    <t>BPJG-8-SE-ESD-MF</t>
  </si>
  <si>
    <t>202500004</t>
  </si>
  <si>
    <t>CVA2-10HR4AL</t>
  </si>
  <si>
    <t>티에스엔(TSN)</t>
  </si>
  <si>
    <t>418000080</t>
  </si>
  <si>
    <t>MFPS01-G</t>
  </si>
  <si>
    <t>맥스웨이(MAXWAY)</t>
  </si>
  <si>
    <t>GBA060009</t>
  </si>
  <si>
    <t>BT-28</t>
  </si>
  <si>
    <t>GBA060077</t>
  </si>
  <si>
    <t>F02-202-010-F10C</t>
  </si>
  <si>
    <t>핸드(HAND)</t>
  </si>
  <si>
    <t>GBB020017</t>
  </si>
  <si>
    <t>BPAG-10A-NE-ESD</t>
  </si>
  <si>
    <t>라온테크(RAON TECH)</t>
  </si>
  <si>
    <t>301000350</t>
  </si>
  <si>
    <t>PJG-8-EC</t>
  </si>
  <si>
    <t>NO LOGO</t>
    <phoneticPr fontId="8" type="noConversion"/>
  </si>
  <si>
    <t>2026/01出荷分</t>
    <phoneticPr fontId="8" type="noConversion"/>
  </si>
  <si>
    <t>基準日 : 2025/12/02</t>
  </si>
  <si>
    <t>20251202 (火)</t>
  </si>
  <si>
    <t>제일모터컴퍼니(JEILMOTOR CO,. LTD)</t>
  </si>
  <si>
    <t>GBB020114</t>
  </si>
  <si>
    <t>BPJG-8-SE</t>
  </si>
  <si>
    <t>GRAV</t>
  </si>
  <si>
    <t>골든플랫폼(GOLDEN FLATFORM)</t>
  </si>
  <si>
    <t>300400010</t>
  </si>
  <si>
    <t>PCG-90-N</t>
  </si>
  <si>
    <t>300400014</t>
  </si>
  <si>
    <t>PCG-15-S</t>
  </si>
  <si>
    <t>200100014</t>
  </si>
  <si>
    <t>CV-30AHS</t>
  </si>
  <si>
    <t>앤티에스(NTS)</t>
  </si>
  <si>
    <t>300700023</t>
  </si>
  <si>
    <t>PFG-1.5A-S</t>
  </si>
  <si>
    <t>에스에프에이 천안(SFA)</t>
  </si>
  <si>
    <t>自動化設備設計及び製造</t>
  </si>
  <si>
    <t>403100039</t>
  </si>
  <si>
    <t>MFPS01-201-NR8#</t>
  </si>
  <si>
    <t>청우뉴메틱(CHUNGWOO)</t>
  </si>
  <si>
    <t>GBB020010</t>
  </si>
  <si>
    <t>BPAG-10A-N</t>
  </si>
  <si>
    <t>세종파마텍(SEJONG PHARMATECH)</t>
  </si>
  <si>
    <t>402200085</t>
  </si>
  <si>
    <t>MPS-P37R-NCA#</t>
  </si>
  <si>
    <t>418000070</t>
  </si>
  <si>
    <t>BT-1</t>
  </si>
  <si>
    <t>PB3320048</t>
  </si>
  <si>
    <t>BPS-6A-BF-M-SE</t>
  </si>
  <si>
    <t>테크윙(TECHWING)유한</t>
  </si>
  <si>
    <t>401000074</t>
  </si>
  <si>
    <t>MPS-0297-MPS9A#(MPS-V9AC-NCA#)</t>
  </si>
  <si>
    <t>RA53000795</t>
  </si>
  <si>
    <t>SC1-001-3009 SENSOR BEACKET</t>
  </si>
  <si>
    <t>PROSIS</t>
  </si>
  <si>
    <t>삼성전기(주)SAMSUNG ELECTRO-MECHANICS CO.,LTD.</t>
  </si>
  <si>
    <t>GBB020269</t>
  </si>
  <si>
    <t>BPFX-0008-PJG</t>
  </si>
  <si>
    <t>GBB020259</t>
  </si>
  <si>
    <t>BPFX-0011-PJG</t>
  </si>
  <si>
    <t>삼성전기(주)SAMSUNG ELECTRO-MECHANICS CO.,LTD.</t>
    <phoneticPr fontId="8" type="noConversion"/>
  </si>
  <si>
    <t>NO LOGO</t>
    <phoneticPr fontId="8" type="noConversion"/>
  </si>
  <si>
    <t>基準日 : 2025/12/03</t>
  </si>
  <si>
    <t>20251203 (水)</t>
  </si>
  <si>
    <t>518000004</t>
  </si>
  <si>
    <t>VF-6E</t>
  </si>
  <si>
    <t>GBB020021</t>
  </si>
  <si>
    <t>BPAG-10B-F</t>
  </si>
  <si>
    <t>GBB020028</t>
  </si>
  <si>
    <t>BPAG-20A-N</t>
  </si>
  <si>
    <t>GBB020220</t>
  </si>
  <si>
    <t>BPCG-10-S</t>
  </si>
  <si>
    <t>401900091</t>
  </si>
  <si>
    <t>MPS-V35R-NCA#</t>
  </si>
  <si>
    <t>SM TECH KOREA</t>
  </si>
  <si>
    <t>S&amp;C</t>
  </si>
  <si>
    <t>318100024</t>
  </si>
  <si>
    <t>TN-PS-10-M5</t>
  </si>
  <si>
    <t>PC3210007</t>
  </si>
  <si>
    <t>NAPFTS-10A-15-K-B</t>
  </si>
  <si>
    <t>한양로보틱스(HANYANG ROBOTICS)</t>
  </si>
  <si>
    <t>射出ROBOT製造</t>
  </si>
  <si>
    <t>PC1010002</t>
  </si>
  <si>
    <t>MCV-15HS-L6</t>
  </si>
  <si>
    <t>포스원(FORCE ONE)</t>
  </si>
  <si>
    <t>300700176</t>
  </si>
  <si>
    <t>PFG-3.5X7A-S</t>
  </si>
  <si>
    <t>엠에스테크놀러지(MS TECH)</t>
  </si>
  <si>
    <t>PCB</t>
  </si>
  <si>
    <t>GBB020078</t>
  </si>
  <si>
    <t>BPFG-15A-SE</t>
  </si>
  <si>
    <t>PC3210020</t>
  </si>
  <si>
    <t>NAPFYH-5A-10-K-MS</t>
  </si>
  <si>
    <t>GBB020002</t>
  </si>
  <si>
    <t>BPFG-6A-SE-ESD</t>
  </si>
  <si>
    <t>제이앤에치(J&amp;H)</t>
  </si>
  <si>
    <t>P401600002</t>
  </si>
  <si>
    <t>PB3180001</t>
  </si>
  <si>
    <t>BNAPATS-25-15-K</t>
  </si>
  <si>
    <t>GBB020118</t>
  </si>
  <si>
    <t>BPJG-15-N</t>
  </si>
  <si>
    <t>PB1040040</t>
  </si>
  <si>
    <t>BMC42S05HRZZ5B</t>
  </si>
  <si>
    <t>H&amp;M GLOTECH</t>
  </si>
  <si>
    <t>PB3090106</t>
  </si>
  <si>
    <t>BBPJYK-20-S</t>
  </si>
  <si>
    <t>PB1010003</t>
  </si>
  <si>
    <t>BCV-10HS</t>
  </si>
  <si>
    <t>파워오토메이션(POWER AUTOMATION)</t>
  </si>
  <si>
    <t>PB1020425</t>
  </si>
  <si>
    <t>BMC22M10HSVGL5BLR303</t>
  </si>
  <si>
    <t>춘일전기(CHUNIL)</t>
  </si>
  <si>
    <t>PB1020366</t>
  </si>
  <si>
    <t>BMC22S07HSABSL5BLR</t>
  </si>
  <si>
    <t>GBB020117</t>
  </si>
  <si>
    <t>BPJG-8-SE-ESD</t>
  </si>
  <si>
    <t>YUHAN</t>
    <phoneticPr fontId="8" type="noConversion"/>
  </si>
  <si>
    <t>BLUE</t>
    <phoneticPr fontId="8" type="noConversion"/>
  </si>
  <si>
    <t>MPS-R34R-NGA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</si>
</sst>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);[Red]\(#,##0\)"/>
    <numFmt numFmtId="177" formatCode="0_);[Red]\(0\)"/>
    <numFmt numFmtId="178" formatCode="_ * #,##0_ ;_ * \-#,##0_ ;_ * &quot;-&quot;_ ;_ @_ "/>
    <numFmt numFmtId="179" formatCode="_ * #,##0.00_ ;_ * \-#,##0.00_ ;_ * &quot;-&quot;_ ;_ @_ "/>
    <numFmt numFmtId="180" formatCode="_-* #,##0.00_-;\-* #,##0.00_-;_-* &quot;-&quot;_-;_-@_-"/>
    <numFmt numFmtId="181" formatCode="_-* #,##0.000_-;\-* #,##0.000_-;_-* &quot;-&quot;_-;_-@_-"/>
  </numFmts>
  <fonts count="70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2"/>
      <charset val="128"/>
      <scheme val="minor"/>
    </font>
    <font>
      <b/>
      <u/>
      <sz val="10"/>
      <name val="맑은 고딕"/>
      <family val="3"/>
      <charset val="128"/>
      <scheme val="minor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2"/>
      <scheme val="minor"/>
    </font>
    <font>
      <b/>
      <sz val="10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1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FA7D00"/>
      <name val="맑은 고딕"/>
      <family val="2"/>
      <charset val="129"/>
      <scheme val="minor"/>
    </font>
    <font>
      <sz val="10"/>
      <color rgb="FFFA7D0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i/>
      <sz val="10"/>
      <color rgb="FF7F7F7F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1"/>
      <color theme="1"/>
      <name val="맑은 고딕"/>
      <family val="2"/>
      <charset val="128"/>
      <scheme val="minor"/>
    </font>
    <font>
      <b/>
      <sz val="10"/>
      <color theme="1"/>
      <name val="Arial"/>
      <family val="2"/>
    </font>
    <font>
      <b/>
      <sz val="10"/>
      <name val="MS Mincho"/>
      <family val="3"/>
      <charset val="128"/>
    </font>
    <font>
      <b/>
      <sz val="10"/>
      <name val="Noto Sans KR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3.5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1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" borderId="0" applyNumberFormat="0" applyBorder="0" applyAlignment="0" applyProtection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18" applyNumberFormat="0" applyAlignment="0" applyProtection="0">
      <alignment vertical="center"/>
    </xf>
    <xf numFmtId="0" fontId="38" fillId="9" borderId="19" applyNumberFormat="0" applyAlignment="0" applyProtection="0">
      <alignment vertical="center"/>
    </xf>
    <xf numFmtId="0" fontId="39" fillId="9" borderId="18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10" borderId="21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" fillId="11" borderId="22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178" fontId="45" fillId="0" borderId="0" applyFont="0" applyFill="0" applyBorder="0" applyAlignment="0" applyProtection="0">
      <alignment vertical="center"/>
    </xf>
    <xf numFmtId="0" fontId="28" fillId="35" borderId="5" applyBorder="0" applyAlignment="0">
      <alignment horizontal="center" vertical="center" shrinkToFit="1"/>
    </xf>
    <xf numFmtId="0" fontId="4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5" fillId="5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8" fillId="8" borderId="18" applyNumberFormat="0" applyAlignment="0" applyProtection="0">
      <alignment vertical="center"/>
    </xf>
    <xf numFmtId="0" fontId="59" fillId="9" borderId="19" applyNumberFormat="0" applyAlignment="0" applyProtection="0">
      <alignment vertical="center"/>
    </xf>
    <xf numFmtId="0" fontId="60" fillId="9" borderId="18" applyNumberFormat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2" fillId="10" borderId="21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10" fillId="0" borderId="0" xfId="0" applyFont="1">
      <alignment vertical="center"/>
    </xf>
    <xf numFmtId="177" fontId="12" fillId="3" borderId="0" xfId="2" applyNumberFormat="1" applyFont="1" applyFill="1" applyAlignment="1">
      <alignment vertical="center" shrinkToFit="1"/>
    </xf>
    <xf numFmtId="177" fontId="12" fillId="3" borderId="0" xfId="2" applyNumberFormat="1" applyFont="1" applyFill="1" applyAlignment="1">
      <alignment vertical="center"/>
    </xf>
    <xf numFmtId="9" fontId="12" fillId="3" borderId="0" xfId="2" applyFont="1" applyFill="1" applyAlignment="1">
      <alignment vertical="center"/>
    </xf>
    <xf numFmtId="41" fontId="12" fillId="3" borderId="0" xfId="1" applyFont="1" applyFill="1" applyAlignment="1">
      <alignment horizontal="center" vertical="center"/>
    </xf>
    <xf numFmtId="41" fontId="12" fillId="3" borderId="0" xfId="1" applyFont="1" applyFill="1" applyAlignment="1">
      <alignment vertical="center"/>
    </xf>
    <xf numFmtId="0" fontId="13" fillId="3" borderId="0" xfId="0" applyFont="1" applyFill="1">
      <alignment vertical="center"/>
    </xf>
    <xf numFmtId="0" fontId="12" fillId="3" borderId="0" xfId="0" applyFont="1" applyFill="1">
      <alignment vertical="center"/>
    </xf>
    <xf numFmtId="9" fontId="12" fillId="3" borderId="0" xfId="2" applyFont="1" applyFill="1" applyBorder="1" applyAlignment="1">
      <alignment vertical="center"/>
    </xf>
    <xf numFmtId="41" fontId="12" fillId="3" borderId="0" xfId="1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41" fontId="12" fillId="3" borderId="0" xfId="1" applyFont="1" applyFill="1" applyBorder="1" applyAlignment="1">
      <alignment vertical="center" shrinkToFit="1"/>
    </xf>
    <xf numFmtId="41" fontId="12" fillId="3" borderId="0" xfId="1" applyFont="1" applyFill="1" applyBorder="1" applyAlignment="1">
      <alignment vertical="center"/>
    </xf>
    <xf numFmtId="17" fontId="12" fillId="3" borderId="5" xfId="0" applyNumberFormat="1" applyFont="1" applyFill="1" applyBorder="1" applyAlignment="1">
      <alignment horizontal="center" vertical="center"/>
    </xf>
    <xf numFmtId="41" fontId="12" fillId="3" borderId="5" xfId="1" applyFont="1" applyFill="1" applyBorder="1" applyAlignment="1">
      <alignment horizontal="center" vertical="center"/>
    </xf>
    <xf numFmtId="41" fontId="13" fillId="3" borderId="0" xfId="1" applyFont="1" applyFill="1" applyAlignment="1">
      <alignment horizontal="center" vertical="center"/>
    </xf>
    <xf numFmtId="41" fontId="10" fillId="4" borderId="5" xfId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41" fontId="17" fillId="3" borderId="0" xfId="1" applyFont="1" applyFill="1" applyBorder="1" applyAlignment="1">
      <alignment horizontal="center" vertical="center"/>
    </xf>
    <xf numFmtId="41" fontId="10" fillId="3" borderId="0" xfId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9" fontId="12" fillId="3" borderId="0" xfId="2" applyFont="1" applyFill="1" applyAlignment="1">
      <alignment horizontal="center" vertical="center"/>
    </xf>
    <xf numFmtId="41" fontId="12" fillId="3" borderId="0" xfId="1" applyFont="1" applyFill="1" applyBorder="1" applyAlignment="1">
      <alignment horizontal="center" vertical="center" shrinkToFit="1"/>
    </xf>
    <xf numFmtId="9" fontId="13" fillId="3" borderId="0" xfId="2" applyFont="1" applyFill="1" applyAlignment="1">
      <alignment vertical="center"/>
    </xf>
    <xf numFmtId="0" fontId="10" fillId="4" borderId="7" xfId="0" applyFont="1" applyFill="1" applyBorder="1" applyAlignment="1">
      <alignment horizontal="center" vertical="center" shrinkToFit="1"/>
    </xf>
    <xf numFmtId="0" fontId="13" fillId="3" borderId="0" xfId="0" applyFont="1" applyFill="1" applyAlignment="1">
      <alignment horizontal="center" vertical="center"/>
    </xf>
    <xf numFmtId="49" fontId="12" fillId="3" borderId="11" xfId="0" applyNumberFormat="1" applyFont="1" applyFill="1" applyBorder="1" applyAlignment="1">
      <alignment horizontal="center" vertical="center" shrinkToFit="1"/>
    </xf>
    <xf numFmtId="49" fontId="12" fillId="3" borderId="0" xfId="0" applyNumberFormat="1" applyFont="1" applyFill="1" applyAlignment="1">
      <alignment horizontal="center" vertical="center" shrinkToFit="1"/>
    </xf>
    <xf numFmtId="0" fontId="10" fillId="3" borderId="0" xfId="7" applyFont="1" applyFill="1" applyBorder="1" applyAlignment="1">
      <alignment horizontal="left" vertical="center"/>
    </xf>
    <xf numFmtId="49" fontId="10" fillId="3" borderId="0" xfId="0" applyNumberFormat="1" applyFont="1" applyFill="1" applyAlignment="1">
      <alignment horizontal="center" vertical="center"/>
    </xf>
    <xf numFmtId="0" fontId="15" fillId="3" borderId="0" xfId="0" applyFont="1" applyFill="1">
      <alignment vertical="center"/>
    </xf>
    <xf numFmtId="0" fontId="10" fillId="4" borderId="5" xfId="0" applyFont="1" applyFill="1" applyBorder="1" applyAlignment="1">
      <alignment horizontal="center" vertical="center" shrinkToFit="1"/>
    </xf>
    <xf numFmtId="9" fontId="10" fillId="4" borderId="5" xfId="2" applyFont="1" applyFill="1" applyBorder="1" applyAlignment="1">
      <alignment horizontal="center" vertical="center" shrinkToFit="1"/>
    </xf>
    <xf numFmtId="0" fontId="12" fillId="3" borderId="0" xfId="0" applyFont="1" applyFill="1" applyAlignment="1">
      <alignment horizontal="center" vertical="center" shrinkToFit="1"/>
    </xf>
    <xf numFmtId="0" fontId="13" fillId="3" borderId="0" xfId="0" applyFont="1" applyFill="1" applyAlignment="1">
      <alignment horizontal="center" vertical="center" shrinkToFit="1"/>
    </xf>
    <xf numFmtId="0" fontId="12" fillId="3" borderId="5" xfId="0" applyFont="1" applyFill="1" applyBorder="1" applyAlignment="1">
      <alignment horizontal="center" vertical="center" shrinkToFit="1"/>
    </xf>
    <xf numFmtId="41" fontId="12" fillId="3" borderId="5" xfId="1" applyFont="1" applyFill="1" applyBorder="1" applyAlignment="1">
      <alignment vertical="center"/>
    </xf>
    <xf numFmtId="41" fontId="10" fillId="4" borderId="5" xfId="1" applyFont="1" applyFill="1" applyBorder="1" applyAlignment="1">
      <alignment horizontal="center" vertical="center" shrinkToFit="1"/>
    </xf>
    <xf numFmtId="177" fontId="10" fillId="4" borderId="5" xfId="1" applyNumberFormat="1" applyFont="1" applyFill="1" applyBorder="1" applyAlignment="1">
      <alignment horizontal="center" vertical="center" shrinkToFit="1"/>
    </xf>
    <xf numFmtId="179" fontId="12" fillId="3" borderId="5" xfId="1" applyNumberFormat="1" applyFont="1" applyFill="1" applyBorder="1" applyAlignment="1">
      <alignment horizontal="center" vertical="center"/>
    </xf>
    <xf numFmtId="9" fontId="10" fillId="3" borderId="0" xfId="2" applyFont="1" applyFill="1" applyBorder="1" applyAlignment="1">
      <alignment horizontal="left" vertical="center"/>
    </xf>
    <xf numFmtId="41" fontId="10" fillId="4" borderId="5" xfId="1" applyFont="1" applyFill="1" applyBorder="1" applyAlignment="1">
      <alignment horizontal="right" vertical="center"/>
    </xf>
    <xf numFmtId="0" fontId="18" fillId="3" borderId="0" xfId="0" applyFont="1" applyFill="1">
      <alignment vertical="center"/>
    </xf>
    <xf numFmtId="3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180" fontId="13" fillId="3" borderId="0" xfId="1" applyNumberFormat="1" applyFont="1" applyFill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41" fontId="10" fillId="4" borderId="7" xfId="1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49" fontId="12" fillId="3" borderId="11" xfId="0" applyNumberFormat="1" applyFont="1" applyFill="1" applyBorder="1" applyAlignment="1">
      <alignment horizontal="center" vertical="center"/>
    </xf>
    <xf numFmtId="41" fontId="12" fillId="3" borderId="11" xfId="1" applyFont="1" applyFill="1" applyBorder="1" applyAlignment="1">
      <alignment horizontal="right" vertical="center"/>
    </xf>
    <xf numFmtId="41" fontId="12" fillId="3" borderId="11" xfId="1" applyFont="1" applyFill="1" applyBorder="1" applyAlignment="1">
      <alignment horizontal="center" vertical="center"/>
    </xf>
    <xf numFmtId="49" fontId="12" fillId="3" borderId="0" xfId="0" applyNumberFormat="1" applyFont="1" applyFill="1" applyAlignment="1">
      <alignment horizontal="center" vertical="center"/>
    </xf>
    <xf numFmtId="41" fontId="12" fillId="3" borderId="0" xfId="1" applyFont="1" applyFill="1" applyBorder="1" applyAlignment="1">
      <alignment horizontal="right" vertical="center"/>
    </xf>
    <xf numFmtId="41" fontId="10" fillId="3" borderId="0" xfId="1" applyFont="1" applyFill="1" applyBorder="1" applyAlignment="1">
      <alignment horizontal="left" vertical="center"/>
    </xf>
    <xf numFmtId="178" fontId="10" fillId="4" borderId="5" xfId="0" applyNumberFormat="1" applyFont="1" applyFill="1" applyBorder="1">
      <alignment vertical="center"/>
    </xf>
    <xf numFmtId="179" fontId="10" fillId="4" borderId="5" xfId="0" applyNumberFormat="1" applyFont="1" applyFill="1" applyBorder="1">
      <alignment vertical="center"/>
    </xf>
    <xf numFmtId="179" fontId="10" fillId="4" borderId="5" xfId="0" applyNumberFormat="1" applyFont="1" applyFill="1" applyBorder="1" applyAlignment="1">
      <alignment horizontal="center" vertical="center"/>
    </xf>
    <xf numFmtId="9" fontId="12" fillId="3" borderId="0" xfId="2" applyFont="1" applyFill="1" applyBorder="1" applyAlignment="1">
      <alignment horizontal="left" vertical="center"/>
    </xf>
    <xf numFmtId="9" fontId="10" fillId="3" borderId="0" xfId="2" applyFont="1" applyFill="1" applyAlignment="1">
      <alignment horizontal="center" vertical="center"/>
    </xf>
    <xf numFmtId="9" fontId="10" fillId="3" borderId="0" xfId="2" applyFont="1" applyFill="1" applyAlignment="1">
      <alignment horizontal="left" vertical="center"/>
    </xf>
    <xf numFmtId="9" fontId="10" fillId="3" borderId="0" xfId="2" applyFont="1" applyFill="1" applyBorder="1" applyAlignment="1">
      <alignment horizontal="center" vertical="center"/>
    </xf>
    <xf numFmtId="9" fontId="15" fillId="3" borderId="0" xfId="2" applyFont="1" applyFill="1" applyAlignment="1">
      <alignment horizontal="center" vertical="center"/>
    </xf>
    <xf numFmtId="9" fontId="15" fillId="3" borderId="0" xfId="2" applyFont="1" applyFill="1" applyAlignment="1">
      <alignment horizontal="left" vertical="center"/>
    </xf>
    <xf numFmtId="9" fontId="15" fillId="3" borderId="0" xfId="2" applyFont="1" applyFill="1" applyBorder="1" applyAlignment="1">
      <alignment horizontal="center" vertical="center"/>
    </xf>
    <xf numFmtId="3" fontId="14" fillId="0" borderId="0" xfId="0" applyNumberFormat="1" applyFont="1">
      <alignment vertical="center"/>
    </xf>
    <xf numFmtId="0" fontId="29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3" fontId="0" fillId="0" borderId="4" xfId="0" applyNumberFormat="1" applyBorder="1" applyAlignment="1">
      <alignment vertical="center" wrapText="1"/>
    </xf>
    <xf numFmtId="10" fontId="0" fillId="0" borderId="4" xfId="0" applyNumberFormat="1" applyBorder="1" applyAlignment="1">
      <alignment horizontal="right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10" fillId="4" borderId="28" xfId="2" applyFont="1" applyFill="1" applyBorder="1" applyAlignment="1">
      <alignment horizontal="center" vertical="center"/>
    </xf>
    <xf numFmtId="9" fontId="10" fillId="4" borderId="29" xfId="2" applyFont="1" applyFill="1" applyBorder="1" applyAlignment="1">
      <alignment horizontal="center" vertical="center"/>
    </xf>
    <xf numFmtId="9" fontId="14" fillId="3" borderId="5" xfId="2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right" vertical="center" wrapText="1"/>
    </xf>
    <xf numFmtId="49" fontId="0" fillId="0" borderId="26" xfId="0" applyNumberFormat="1" applyBorder="1" applyAlignment="1">
      <alignment vertical="center" wrapText="1"/>
    </xf>
    <xf numFmtId="0" fontId="10" fillId="4" borderId="8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49" fontId="0" fillId="0" borderId="27" xfId="0" applyNumberFormat="1" applyBorder="1" applyAlignment="1">
      <alignment vertical="center" wrapText="1"/>
    </xf>
    <xf numFmtId="0" fontId="10" fillId="4" borderId="8" xfId="0" applyFont="1" applyFill="1" applyBorder="1">
      <alignment vertical="center"/>
    </xf>
    <xf numFmtId="0" fontId="10" fillId="4" borderId="9" xfId="0" applyFont="1" applyFill="1" applyBorder="1">
      <alignment vertical="center"/>
    </xf>
    <xf numFmtId="0" fontId="10" fillId="4" borderId="10" xfId="0" applyFont="1" applyFill="1" applyBorder="1">
      <alignment vertical="center"/>
    </xf>
    <xf numFmtId="177" fontId="10" fillId="4" borderId="8" xfId="1" applyNumberFormat="1" applyFont="1" applyFill="1" applyBorder="1" applyAlignment="1">
      <alignment vertical="center"/>
    </xf>
    <xf numFmtId="177" fontId="12" fillId="3" borderId="0" xfId="1" applyNumberFormat="1" applyFont="1" applyFill="1" applyAlignment="1">
      <alignment vertical="center" shrinkToFit="1"/>
    </xf>
    <xf numFmtId="0" fontId="10" fillId="4" borderId="9" xfId="0" applyFont="1" applyFill="1" applyBorder="1" applyAlignment="1">
      <alignment horizontal="center" vertical="center"/>
    </xf>
    <xf numFmtId="181" fontId="13" fillId="3" borderId="0" xfId="1" applyNumberFormat="1" applyFont="1" applyFill="1" applyAlignment="1">
      <alignment vertical="center"/>
    </xf>
    <xf numFmtId="49" fontId="0" fillId="3" borderId="4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right" vertical="center" wrapText="1"/>
    </xf>
    <xf numFmtId="49" fontId="0" fillId="0" borderId="30" xfId="0" applyNumberFormat="1" applyBorder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/>
    </xf>
    <xf numFmtId="41" fontId="12" fillId="0" borderId="0" xfId="1" applyFont="1" applyFill="1" applyAlignment="1">
      <alignment vertical="center"/>
    </xf>
    <xf numFmtId="41" fontId="12" fillId="0" borderId="0" xfId="1" applyFont="1" applyFill="1" applyAlignment="1">
      <alignment horizontal="center" vertical="center"/>
    </xf>
    <xf numFmtId="9" fontId="12" fillId="0" borderId="0" xfId="2" applyFont="1" applyFill="1" applyAlignment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49" fontId="0" fillId="0" borderId="5" xfId="0" applyNumberFormat="1" applyBorder="1" applyAlignment="1">
      <alignment vertical="center" wrapText="1"/>
    </xf>
    <xf numFmtId="49" fontId="0" fillId="0" borderId="31" xfId="0" applyNumberFormat="1" applyBorder="1" applyAlignment="1">
      <alignment horizontal="center" vertical="center" wrapText="1"/>
    </xf>
    <xf numFmtId="49" fontId="0" fillId="0" borderId="32" xfId="0" applyNumberFormat="1" applyBorder="1" applyAlignment="1">
      <alignment vertical="center" wrapText="1"/>
    </xf>
    <xf numFmtId="49" fontId="0" fillId="0" borderId="33" xfId="0" applyNumberFormat="1" applyBorder="1" applyAlignment="1">
      <alignment vertical="center" wrapText="1"/>
    </xf>
    <xf numFmtId="0" fontId="14" fillId="3" borderId="5" xfId="0" applyFont="1" applyFill="1" applyBorder="1" applyAlignment="1">
      <alignment horizontal="center" vertical="center"/>
    </xf>
    <xf numFmtId="0" fontId="14" fillId="3" borderId="5" xfId="0" applyFont="1" applyFill="1" applyBorder="1">
      <alignment vertical="center"/>
    </xf>
    <xf numFmtId="0" fontId="0" fillId="3" borderId="5" xfId="0" applyFill="1" applyBorder="1" applyAlignment="1">
      <alignment horizontal="right" vertical="center" wrapText="1"/>
    </xf>
    <xf numFmtId="180" fontId="14" fillId="3" borderId="5" xfId="1" applyNumberFormat="1" applyFont="1" applyFill="1" applyBorder="1">
      <alignment vertical="center"/>
    </xf>
    <xf numFmtId="9" fontId="10" fillId="4" borderId="5" xfId="2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 wrapText="1"/>
    </xf>
    <xf numFmtId="176" fontId="51" fillId="0" borderId="0" xfId="0" applyNumberFormat="1" applyFont="1" applyAlignment="1">
      <alignment horizontal="center" vertical="center"/>
    </xf>
    <xf numFmtId="9" fontId="51" fillId="0" borderId="0" xfId="2" applyFont="1" applyFill="1" applyAlignment="1">
      <alignment vertical="center"/>
    </xf>
    <xf numFmtId="41" fontId="51" fillId="0" borderId="0" xfId="1" applyFont="1" applyFill="1" applyAlignment="1">
      <alignment horizontal="center" vertical="center"/>
    </xf>
    <xf numFmtId="41" fontId="51" fillId="0" borderId="0" xfId="1" applyFont="1" applyFill="1" applyAlignment="1">
      <alignment vertical="center"/>
    </xf>
    <xf numFmtId="0" fontId="52" fillId="0" borderId="0" xfId="0" applyFont="1">
      <alignment vertical="center"/>
    </xf>
    <xf numFmtId="0" fontId="51" fillId="0" borderId="0" xfId="0" applyFont="1">
      <alignment vertical="center"/>
    </xf>
    <xf numFmtId="176" fontId="10" fillId="0" borderId="0" xfId="0" applyNumberFormat="1" applyFont="1" applyAlignment="1">
      <alignment horizontal="center" vertical="center"/>
    </xf>
    <xf numFmtId="177" fontId="10" fillId="0" borderId="0" xfId="2" applyNumberFormat="1" applyFont="1" applyFill="1" applyAlignment="1">
      <alignment vertical="center"/>
    </xf>
    <xf numFmtId="9" fontId="10" fillId="0" borderId="0" xfId="2" applyFont="1" applyFill="1" applyAlignment="1">
      <alignment vertical="center"/>
    </xf>
    <xf numFmtId="41" fontId="10" fillId="0" borderId="0" xfId="1" applyFont="1" applyFill="1" applyAlignment="1">
      <alignment horizontal="center" vertical="center"/>
    </xf>
    <xf numFmtId="41" fontId="10" fillId="0" borderId="0" xfId="1" applyFont="1" applyFill="1" applyAlignment="1">
      <alignment vertical="center"/>
    </xf>
    <xf numFmtId="0" fontId="11" fillId="0" borderId="0" xfId="0" applyFont="1">
      <alignment vertical="center"/>
    </xf>
    <xf numFmtId="177" fontId="12" fillId="0" borderId="0" xfId="2" applyNumberFormat="1" applyFont="1" applyFill="1" applyAlignment="1">
      <alignment vertical="center"/>
    </xf>
    <xf numFmtId="9" fontId="51" fillId="0" borderId="0" xfId="2" applyFont="1" applyFill="1" applyAlignment="1">
      <alignment horizontal="center" vertical="center" shrinkToFit="1"/>
    </xf>
    <xf numFmtId="177" fontId="10" fillId="0" borderId="0" xfId="2" applyNumberFormat="1" applyFont="1" applyFill="1" applyAlignment="1">
      <alignment horizontal="center" vertical="center" shrinkToFit="1"/>
    </xf>
    <xf numFmtId="177" fontId="12" fillId="0" borderId="0" xfId="2" applyNumberFormat="1" applyFont="1" applyFill="1" applyAlignment="1">
      <alignment horizontal="center" vertical="center" shrinkToFit="1"/>
    </xf>
    <xf numFmtId="41" fontId="12" fillId="0" borderId="0" xfId="1" applyFont="1" applyFill="1" applyAlignment="1">
      <alignment horizontal="center" vertical="center" shrinkToFit="1"/>
    </xf>
    <xf numFmtId="177" fontId="12" fillId="0" borderId="0" xfId="2" applyNumberFormat="1" applyFont="1" applyFill="1" applyAlignment="1">
      <alignment horizontal="center" vertical="center"/>
    </xf>
    <xf numFmtId="9" fontId="12" fillId="3" borderId="0" xfId="2" applyFont="1" applyFill="1" applyAlignment="1">
      <alignment horizontal="center" vertical="center" shrinkToFit="1"/>
    </xf>
    <xf numFmtId="41" fontId="12" fillId="3" borderId="0" xfId="1" applyFont="1" applyFill="1" applyAlignment="1">
      <alignment horizontal="center" vertical="center" shrinkToFit="1"/>
    </xf>
    <xf numFmtId="9" fontId="10" fillId="3" borderId="0" xfId="2" applyFont="1" applyFill="1" applyBorder="1" applyAlignment="1">
      <alignment horizontal="center" vertical="center" shrinkToFit="1"/>
    </xf>
    <xf numFmtId="9" fontId="15" fillId="3" borderId="0" xfId="2" applyFont="1" applyFill="1" applyAlignment="1">
      <alignment horizontal="center" vertical="center" shrinkToFit="1"/>
    </xf>
    <xf numFmtId="3" fontId="0" fillId="0" borderId="0" xfId="0" applyNumberFormat="1" applyAlignment="1">
      <alignment vertical="center" wrapText="1"/>
    </xf>
    <xf numFmtId="41" fontId="13" fillId="3" borderId="0" xfId="1" applyFont="1" applyFill="1">
      <alignment vertical="center"/>
    </xf>
    <xf numFmtId="41" fontId="12" fillId="3" borderId="0" xfId="1" applyFont="1" applyFill="1">
      <alignment vertical="center"/>
    </xf>
    <xf numFmtId="41" fontId="15" fillId="3" borderId="0" xfId="1" applyFont="1" applyFill="1" applyAlignment="1">
      <alignment horizontal="left" vertical="center"/>
    </xf>
    <xf numFmtId="41" fontId="12" fillId="3" borderId="10" xfId="1" applyFont="1" applyFill="1" applyBorder="1" applyAlignment="1">
      <alignment horizontal="center" vertical="center"/>
    </xf>
    <xf numFmtId="41" fontId="10" fillId="4" borderId="10" xfId="1" applyFont="1" applyFill="1" applyBorder="1" applyAlignment="1">
      <alignment vertical="center"/>
    </xf>
    <xf numFmtId="49" fontId="54" fillId="0" borderId="4" xfId="0" applyNumberFormat="1" applyFont="1" applyBorder="1" applyAlignment="1">
      <alignment horizontal="left" vertical="center" wrapText="1"/>
    </xf>
    <xf numFmtId="41" fontId="10" fillId="4" borderId="5" xfId="0" applyNumberFormat="1" applyFont="1" applyFill="1" applyBorder="1">
      <alignment vertical="center"/>
    </xf>
    <xf numFmtId="41" fontId="25" fillId="4" borderId="7" xfId="1" applyFont="1" applyFill="1" applyBorder="1" applyAlignment="1">
      <alignment horizontal="center" vertical="center"/>
    </xf>
    <xf numFmtId="177" fontId="12" fillId="0" borderId="0" xfId="2" applyNumberFormat="1" applyFont="1" applyFill="1" applyBorder="1" applyAlignment="1">
      <alignment horizontal="center" vertical="center"/>
    </xf>
    <xf numFmtId="0" fontId="48" fillId="4" borderId="5" xfId="0" applyFont="1" applyFill="1" applyBorder="1" applyAlignment="1">
      <alignment horizontal="left" vertical="top" wrapText="1"/>
    </xf>
    <xf numFmtId="3" fontId="9" fillId="4" borderId="5" xfId="0" applyNumberFormat="1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/>
    </xf>
    <xf numFmtId="41" fontId="0" fillId="0" borderId="4" xfId="1" applyFont="1" applyBorder="1" applyAlignment="1">
      <alignment horizontal="right" vertical="center" wrapText="1"/>
    </xf>
    <xf numFmtId="49" fontId="0" fillId="0" borderId="25" xfId="0" applyNumberFormat="1" applyBorder="1" applyAlignment="1">
      <alignment vertical="center" wrapText="1"/>
    </xf>
    <xf numFmtId="177" fontId="12" fillId="3" borderId="9" xfId="1" applyNumberFormat="1" applyFont="1" applyFill="1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49" fontId="68" fillId="0" borderId="4" xfId="0" applyNumberFormat="1" applyFont="1" applyBorder="1" applyAlignment="1">
      <alignment horizontal="left" vertical="center" wrapText="1"/>
    </xf>
    <xf numFmtId="49" fontId="69" fillId="0" borderId="4" xfId="0" applyNumberFormat="1" applyFont="1" applyBorder="1" applyAlignment="1">
      <alignment horizontal="left" vertical="center" wrapText="1"/>
    </xf>
    <xf numFmtId="49" fontId="67" fillId="0" borderId="4" xfId="0" applyNumberFormat="1" applyFont="1" applyBorder="1" applyAlignment="1">
      <alignment horizontal="center" vertical="center" wrapText="1"/>
    </xf>
    <xf numFmtId="49" fontId="67" fillId="0" borderId="4" xfId="0" applyNumberFormat="1" applyFont="1" applyBorder="1" applyAlignment="1">
      <alignment horizontal="left" vertical="center" wrapText="1"/>
    </xf>
    <xf numFmtId="3" fontId="0" fillId="0" borderId="24" xfId="0" applyNumberFormat="1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0" fontId="0" fillId="0" borderId="27" xfId="0" applyBorder="1" applyAlignment="1">
      <alignment horizontal="right" vertical="center" wrapText="1"/>
    </xf>
    <xf numFmtId="49" fontId="0" fillId="0" borderId="24" xfId="0" applyNumberFormat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 vertical="center" wrapText="1"/>
    </xf>
    <xf numFmtId="49" fontId="0" fillId="0" borderId="25" xfId="0" applyNumberFormat="1" applyBorder="1" applyAlignment="1">
      <alignment horizontal="center" vertical="center" wrapText="1"/>
    </xf>
    <xf numFmtId="49" fontId="0" fillId="0" borderId="27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righ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180" fontId="12" fillId="3" borderId="29" xfId="0" applyNumberFormat="1" applyFont="1" applyFill="1" applyBorder="1" applyAlignment="1">
      <alignment horizontal="right" vertical="center" shrinkToFit="1"/>
    </xf>
    <xf numFmtId="180" fontId="12" fillId="3" borderId="36" xfId="0" applyNumberFormat="1" applyFont="1" applyFill="1" applyBorder="1" applyAlignment="1">
      <alignment horizontal="right" vertical="center" shrinkToFit="1"/>
    </xf>
    <xf numFmtId="180" fontId="12" fillId="3" borderId="35" xfId="0" applyNumberFormat="1" applyFont="1" applyFill="1" applyBorder="1" applyAlignment="1">
      <alignment horizontal="right" vertical="center" shrinkToFit="1"/>
    </xf>
    <xf numFmtId="0" fontId="10" fillId="4" borderId="34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/>
    </xf>
    <xf numFmtId="0" fontId="10" fillId="4" borderId="35" xfId="0" applyFont="1" applyFill="1" applyBorder="1" applyAlignment="1">
      <alignment horizontal="left" vertical="center"/>
    </xf>
    <xf numFmtId="0" fontId="15" fillId="3" borderId="6" xfId="8" applyFont="1" applyFill="1" applyBorder="1" applyAlignment="1">
      <alignment horizontal="left" vertical="center"/>
    </xf>
    <xf numFmtId="177" fontId="10" fillId="4" borderId="5" xfId="1" applyNumberFormat="1" applyFont="1" applyFill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 wrapText="1"/>
    </xf>
    <xf numFmtId="49" fontId="0" fillId="0" borderId="30" xfId="0" applyNumberFormat="1" applyBorder="1" applyAlignment="1">
      <alignment horizontal="left" vertical="center" wrapText="1"/>
    </xf>
    <xf numFmtId="49" fontId="0" fillId="0" borderId="27" xfId="0" applyNumberFormat="1" applyBorder="1" applyAlignment="1">
      <alignment horizontal="left" vertical="center" wrapText="1"/>
    </xf>
    <xf numFmtId="41" fontId="0" fillId="0" borderId="7" xfId="0" applyNumberFormat="1" applyBorder="1" applyAlignment="1">
      <alignment horizontal="center" vertical="center" wrapText="1"/>
    </xf>
    <xf numFmtId="41" fontId="0" fillId="0" borderId="37" xfId="0" applyNumberFormat="1" applyBorder="1" applyAlignment="1">
      <alignment horizontal="center" vertical="center" wrapText="1"/>
    </xf>
    <xf numFmtId="41" fontId="12" fillId="3" borderId="12" xfId="1" applyFont="1" applyFill="1" applyBorder="1" applyAlignment="1">
      <alignment horizontal="center" vertical="center"/>
    </xf>
    <xf numFmtId="41" fontId="12" fillId="3" borderId="13" xfId="1" applyFont="1" applyFill="1" applyBorder="1" applyAlignment="1">
      <alignment horizontal="center" vertical="center"/>
    </xf>
    <xf numFmtId="41" fontId="12" fillId="3" borderId="14" xfId="1" applyFont="1" applyFill="1" applyBorder="1" applyAlignment="1">
      <alignment horizontal="center" vertical="center"/>
    </xf>
    <xf numFmtId="0" fontId="15" fillId="3" borderId="6" xfId="3" applyFont="1" applyFill="1" applyBorder="1" applyAlignment="1">
      <alignment horizontal="left" vertical="center"/>
    </xf>
    <xf numFmtId="0" fontId="15" fillId="3" borderId="6" xfId="3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48" fillId="4" borderId="5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3" fillId="4" borderId="5" xfId="0" applyFont="1" applyFill="1" applyBorder="1" applyAlignment="1">
      <alignment horizontal="left" vertical="top" wrapText="1"/>
    </xf>
    <xf numFmtId="3" fontId="0" fillId="0" borderId="30" xfId="0" applyNumberFormat="1" applyBorder="1" applyAlignment="1">
      <alignment horizontal="right" vertical="center" wrapText="1"/>
    </xf>
  </cellXfs>
  <cellStyles count="111">
    <cellStyle name="20% - 강조색1" xfId="28" builtinId="30" customBuiltin="1"/>
    <cellStyle name="20% - 강조색1 15 2 2" xfId="7" xr:uid="{22E4AA17-E04D-4A95-8768-8A4BA964B43A}"/>
    <cellStyle name="20% - 강조색1 15 2 2 2" xfId="64" xr:uid="{58E0AC68-31F9-4E5E-98B5-8DBC9A31E9C3}"/>
    <cellStyle name="20% - 강조색1 15 2 2 3" xfId="67" xr:uid="{ED2E4DB1-33EE-4F36-8910-B65A6D40AA4D}"/>
    <cellStyle name="20% - 강조색1 15 2 2 4" xfId="71" xr:uid="{7B28FC4F-0991-42B0-ADEF-D9B1474FC235}"/>
    <cellStyle name="20% - 강조색1 15 2 2 5" xfId="73" xr:uid="{316889D5-9CCD-4094-9655-132C468745EC}"/>
    <cellStyle name="20% - 강조색1 2" xfId="88" xr:uid="{B7331BEE-5014-4A51-86F0-1632B40A2405}"/>
    <cellStyle name="20% - 강조색2" xfId="32" builtinId="34" customBuiltin="1"/>
    <cellStyle name="20% - 강조색2 2" xfId="92" xr:uid="{0D4D99B2-CB66-48F7-8E3C-8D291641859F}"/>
    <cellStyle name="20% - 강조색3" xfId="36" builtinId="38" customBuiltin="1"/>
    <cellStyle name="20% - 강조색3 2" xfId="96" xr:uid="{C8E33539-7384-42DA-B671-2CFA7CAB5F37}"/>
    <cellStyle name="20% - 강조색4" xfId="40" builtinId="42" customBuiltin="1"/>
    <cellStyle name="20% - 강조색4 2" xfId="100" xr:uid="{8CA6BD2A-549B-40E3-BCE1-73E56CF1F4E1}"/>
    <cellStyle name="20% - 강조색5" xfId="44" builtinId="46" customBuiltin="1"/>
    <cellStyle name="20% - 강조색5 2" xfId="104" xr:uid="{FD835DCE-9847-4880-84F4-F77C08DA297B}"/>
    <cellStyle name="20% - 강조색6" xfId="48" builtinId="50" customBuiltin="1"/>
    <cellStyle name="20% - 강조색6 2" xfId="108" xr:uid="{CC552067-D1E8-4E91-9877-BF1F3DEC2688}"/>
    <cellStyle name="40% - 강조색1" xfId="29" builtinId="31" customBuiltin="1"/>
    <cellStyle name="40% - 강조색1 2" xfId="89" xr:uid="{F3514B76-D8AA-4845-8895-9F82165073AF}"/>
    <cellStyle name="40% - 강조색2" xfId="33" builtinId="35" customBuiltin="1"/>
    <cellStyle name="40% - 강조색2 2" xfId="93" xr:uid="{465A05FC-F652-43FA-9A11-1880D70B0804}"/>
    <cellStyle name="40% - 강조색3" xfId="37" builtinId="39" customBuiltin="1"/>
    <cellStyle name="40% - 강조색3 2" xfId="97" xr:uid="{C6FBB6E4-8AB3-4F1D-99E5-6341E31B05B5}"/>
    <cellStyle name="40% - 강조색4" xfId="41" builtinId="43" customBuiltin="1"/>
    <cellStyle name="40% - 강조색4 2" xfId="101" xr:uid="{CEE4D417-75EA-481D-A86E-EBE58E9E1BB8}"/>
    <cellStyle name="40% - 강조색5" xfId="45" builtinId="47" customBuiltin="1"/>
    <cellStyle name="40% - 강조색5 2" xfId="105" xr:uid="{04785DF0-32B4-420A-9DFD-B1FD1C35AE2C}"/>
    <cellStyle name="40% - 강조색6" xfId="49" builtinId="51" customBuiltin="1"/>
    <cellStyle name="40% - 강조색6 2" xfId="109" xr:uid="{F260EED1-2EA7-4DEC-9349-FD9273CD7CBC}"/>
    <cellStyle name="60% - 강조색1" xfId="30" builtinId="32" customBuiltin="1"/>
    <cellStyle name="60% - 강조색1 2" xfId="90" xr:uid="{745C793B-36AC-4B9C-AD6B-1AEBE37238B6}"/>
    <cellStyle name="60% - 강조색2" xfId="34" builtinId="36" customBuiltin="1"/>
    <cellStyle name="60% - 강조색2 2" xfId="94" xr:uid="{042ECB66-16F0-4050-BC1C-B2C0E28E5080}"/>
    <cellStyle name="60% - 강조색3" xfId="38" builtinId="40" customBuiltin="1"/>
    <cellStyle name="60% - 강조색3 2" xfId="98" xr:uid="{74BFEAA1-50C8-4696-9885-441175529C10}"/>
    <cellStyle name="60% - 강조색4" xfId="42" builtinId="44" customBuiltin="1"/>
    <cellStyle name="60% - 강조색4 2" xfId="102" xr:uid="{25611234-7ABC-47EE-8C14-B0834BC38A0B}"/>
    <cellStyle name="60% - 강조색5" xfId="46" builtinId="48" customBuiltin="1"/>
    <cellStyle name="60% - 강조색5 2" xfId="106" xr:uid="{A5879650-B878-4B07-87C5-5714ADBBDE4C}"/>
    <cellStyle name="60% - 강조색6" xfId="50" builtinId="52" customBuiltin="1"/>
    <cellStyle name="60% - 강조색6 2" xfId="110" xr:uid="{F0E627FE-2E0E-4583-8193-B383CD0FA1E1}"/>
    <cellStyle name="강조색1" xfId="27" builtinId="29" customBuiltin="1"/>
    <cellStyle name="강조색1 2" xfId="87" xr:uid="{C80FB465-4AD9-4511-8EB7-261A5334832F}"/>
    <cellStyle name="강조색2" xfId="31" builtinId="33" customBuiltin="1"/>
    <cellStyle name="강조색2 2" xfId="91" xr:uid="{3FFC1000-5B79-4E58-89D3-60BDAFE3346F}"/>
    <cellStyle name="강조색3" xfId="35" builtinId="37" customBuiltin="1"/>
    <cellStyle name="강조색3 2" xfId="95" xr:uid="{DD238F9A-ED11-4E94-A20A-8DC6FB0834FF}"/>
    <cellStyle name="강조색4" xfId="39" builtinId="41" customBuiltin="1"/>
    <cellStyle name="강조색4 2" xfId="99" xr:uid="{33790AD8-30C0-424D-95C4-C285BDBFB064}"/>
    <cellStyle name="강조색5" xfId="43" builtinId="45" customBuiltin="1"/>
    <cellStyle name="강조색5 2" xfId="103" xr:uid="{F519A25E-300A-4346-A9A9-74FDC8B42AE1}"/>
    <cellStyle name="강조색6" xfId="47" builtinId="49" customBuiltin="1"/>
    <cellStyle name="강조색6 2" xfId="107" xr:uid="{F8A98C5B-26F9-4A07-954C-33931E8ACAC5}"/>
    <cellStyle name="경고문" xfId="23" builtinId="11" customBuiltin="1"/>
    <cellStyle name="경고문 2" xfId="83" xr:uid="{77010892-59A2-4683-9128-BF3BE1E29A20}"/>
    <cellStyle name="계산" xfId="20" builtinId="22" customBuiltin="1"/>
    <cellStyle name="계산 2" xfId="80" xr:uid="{F747FFC5-D019-4501-8A01-5D9B451F81A0}"/>
    <cellStyle name="나쁨" xfId="16" builtinId="27" customBuiltin="1"/>
    <cellStyle name="나쁨 2" xfId="76" xr:uid="{E215B146-8A5E-492E-865A-8ACCBA59DD66}"/>
    <cellStyle name="노란색 강조" xfId="55" xr:uid="{20887CE7-592B-4D76-973D-5BFA844CF139}"/>
    <cellStyle name="메모" xfId="24" builtinId="10" customBuiltin="1"/>
    <cellStyle name="메모 2" xfId="84" xr:uid="{08E5712D-C419-43A4-A549-8E73EFACEAC3}"/>
    <cellStyle name="백분율" xfId="2" builtinId="5"/>
    <cellStyle name="백분율 2" xfId="59" xr:uid="{6690BA37-7E03-430F-9CF1-ECA222FF915B}"/>
    <cellStyle name="보통" xfId="17" builtinId="28" customBuiltin="1"/>
    <cellStyle name="보통 2" xfId="77" xr:uid="{DD190254-4EC8-4238-9515-A8349131C575}"/>
    <cellStyle name="설명 텍스트" xfId="25" builtinId="53" customBuiltin="1"/>
    <cellStyle name="설명 텍스트 2" xfId="85" xr:uid="{DE3B7553-DCD6-4DA5-9076-9EA3FF18C2B7}"/>
    <cellStyle name="셀 확인" xfId="22" builtinId="23" customBuiltin="1"/>
    <cellStyle name="셀 확인 2" xfId="82" xr:uid="{8140F154-0599-4C46-A4C1-D28AD98B5142}"/>
    <cellStyle name="쉼표 [0]" xfId="1" builtinId="6"/>
    <cellStyle name="쉼표 [0] 2" xfId="54" xr:uid="{ED88C11A-A468-488F-BA4A-59B74262E28F}"/>
    <cellStyle name="쉼표 [0] 2 2" xfId="58" xr:uid="{61BC32D7-51E1-4963-977B-89B6AA79C756}"/>
    <cellStyle name="쉼표 [0] 3" xfId="51" xr:uid="{42D5D7E3-A913-466D-A0A7-BEF2DDB793E7}"/>
    <cellStyle name="연결된 셀" xfId="21" builtinId="24" customBuiltin="1"/>
    <cellStyle name="연결된 셀 2" xfId="81" xr:uid="{30D83BF4-8891-4EF9-86DA-9C62E0CDCB02}"/>
    <cellStyle name="요약" xfId="26" builtinId="25" customBuiltin="1"/>
    <cellStyle name="요약 2" xfId="86" xr:uid="{7313FDF1-E810-49DE-AA87-6DB0D2354206}"/>
    <cellStyle name="입력" xfId="18" builtinId="20" customBuiltin="1"/>
    <cellStyle name="입력 2" xfId="78" xr:uid="{CEA1A2E6-535A-46C8-A529-9359A8637699}"/>
    <cellStyle name="제목" xfId="10" builtinId="15" customBuiltin="1"/>
    <cellStyle name="제목 1" xfId="11" builtinId="16" customBuiltin="1"/>
    <cellStyle name="제목 2" xfId="12" builtinId="17" customBuiltin="1"/>
    <cellStyle name="제목 3" xfId="13" builtinId="18" customBuiltin="1"/>
    <cellStyle name="제목 4" xfId="14" builtinId="19" customBuiltin="1"/>
    <cellStyle name="좋음" xfId="15" builtinId="26" customBuiltin="1"/>
    <cellStyle name="좋음 2" xfId="75" xr:uid="{ECDCF79B-3D54-49EC-9AE8-B972A954792A}"/>
    <cellStyle name="출력" xfId="19" builtinId="21" customBuiltin="1"/>
    <cellStyle name="출력 2" xfId="79" xr:uid="{697EC7AB-348E-494E-9DC1-10A8E9840BD7}"/>
    <cellStyle name="표준" xfId="0" builtinId="0"/>
    <cellStyle name="표준 11 2" xfId="4" xr:uid="{CB46C2EE-E7EC-458B-89BE-D0D0E1CF58F8}"/>
    <cellStyle name="표준 11 2 2" xfId="60" xr:uid="{8BB38ABB-7B89-469A-ACF6-EA2038F85567}"/>
    <cellStyle name="표준 11 2 3" xfId="65" xr:uid="{2B67D8C8-434F-4C52-8952-B86FDD835752}"/>
    <cellStyle name="표준 11 2 4" xfId="69" xr:uid="{79F3C615-D34D-4423-92A4-1622BC0C3D2D}"/>
    <cellStyle name="표준 191 2" xfId="5" xr:uid="{49ECF884-995D-481E-9260-8DC1BF095DE3}"/>
    <cellStyle name="표준 191 2 2" xfId="62" xr:uid="{BBFF165D-F1CD-4E28-8188-59ECFF7DBE51}"/>
    <cellStyle name="표준 191 2 3" xfId="66" xr:uid="{1E0AD294-EDAD-4F81-A171-DE76F8896529}"/>
    <cellStyle name="표준 191 2 4" xfId="70" xr:uid="{050FAB2B-1985-492B-B55F-A67478E8E207}"/>
    <cellStyle name="표준 192" xfId="9" xr:uid="{7DD7A01D-A43D-4923-BC7B-4109E3363C2C}"/>
    <cellStyle name="표준 2" xfId="8" xr:uid="{70AA05E6-538E-4BF8-B70C-54754CDB0C4B}"/>
    <cellStyle name="標準 2" xfId="56" xr:uid="{F4388C5D-60A6-49FB-9C5C-7439CB75C351}"/>
    <cellStyle name="표준 2 2" xfId="52" xr:uid="{A1624192-47F4-4D4A-9B3E-41850A9E632F}"/>
    <cellStyle name="표준 2 2 2" xfId="63" xr:uid="{F78C00F5-E85F-41B9-8A7F-654DE986942E}"/>
    <cellStyle name="표준 2 3" xfId="57" xr:uid="{C1197715-FB9E-480B-8F08-A8CA9359ABDE}"/>
    <cellStyle name="표준 2_Order &amp; Sales List (2013.01)" xfId="3" xr:uid="{8C45B37D-3A52-44B0-8F0F-F655F882578F}"/>
    <cellStyle name="표준 3" xfId="74" xr:uid="{8B98287F-C357-4AAD-8195-458B7DF8F431}"/>
    <cellStyle name="표준 9 2" xfId="6" xr:uid="{B9AF2816-24AA-49AE-954B-61F3A9AB4777}"/>
    <cellStyle name="표준 9 2 2" xfId="61" xr:uid="{A8916E56-90BE-4CEA-ADE7-9726F47EBCAA}"/>
    <cellStyle name="표준 9 2 3" xfId="68" xr:uid="{F095D44F-4BAA-45D9-BE79-38E7C0706F34}"/>
    <cellStyle name="표준 9 2 4" xfId="72" xr:uid="{64DC0B25-970B-4BF7-BC0D-09124BA12CAB}"/>
    <cellStyle name="하이퍼링크 2" xfId="53" xr:uid="{EDC30056-8E85-4347-9853-69CA82C8C43C}"/>
  </cellStyles>
  <dxfs count="36"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사용자 지정 1">
      <a:dk1>
        <a:sysClr val="windowText" lastClr="000000"/>
      </a:dk1>
      <a:lt1>
        <a:sysClr val="window" lastClr="FFFFFF"/>
      </a:lt1>
      <a:dk2>
        <a:srgbClr val="4F271C"/>
      </a:dk2>
      <a:lt2>
        <a:srgbClr val="E7DEC9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AA8A1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9F91-7578-4B94-BFFE-33962777A12A}">
  <dimension ref="A1:R125"/>
  <sheetViews>
    <sheetView showGridLines="0" tabSelected="1" topLeftCell="A4" zoomScale="80" zoomScaleNormal="80" workbookViewId="0">
      <selection activeCell="I25" sqref="I25:J25"/>
    </sheetView>
  </sheetViews>
  <sheetFormatPr defaultColWidth="18.5703125" defaultRowHeight="13.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>
      <c r="A1" s="191" t="s">
        <v>274</v>
      </c>
      <c r="B1" s="191"/>
      <c r="C1" s="191"/>
      <c r="D1" s="191"/>
      <c r="E1" s="191"/>
      <c r="F1" s="191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>
      <c r="A2" s="192" t="s">
        <v>49</v>
      </c>
      <c r="B2" s="192"/>
      <c r="C2" s="192"/>
      <c r="D2" s="192"/>
      <c r="E2" s="192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>
      <c r="A4" s="71" t="s">
        <v>56</v>
      </c>
      <c r="B4" s="72">
        <v>22035360</v>
      </c>
      <c r="C4" s="72">
        <v>350476000</v>
      </c>
      <c r="D4" s="75">
        <v>0</v>
      </c>
      <c r="E4" s="73">
        <v>6.3E-2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>
      <c r="A5" s="71" t="s">
        <v>57</v>
      </c>
      <c r="B5" s="72">
        <v>22035360</v>
      </c>
      <c r="C5" s="72">
        <v>322041000</v>
      </c>
      <c r="D5" s="75">
        <v>0</v>
      </c>
      <c r="E5" s="73">
        <v>6.8000000000000005E-2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>
      <c r="A7" s="193"/>
      <c r="B7" s="194"/>
      <c r="C7" s="194"/>
      <c r="D7" s="194"/>
      <c r="E7" s="194"/>
      <c r="F7" s="195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>
      <c r="A8" s="196" t="s">
        <v>59</v>
      </c>
      <c r="B8" s="196"/>
      <c r="C8" s="196"/>
      <c r="D8" s="196" t="s">
        <v>60</v>
      </c>
      <c r="E8" s="196"/>
      <c r="F8" s="196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>
      <c r="A9" s="167" t="s">
        <v>207</v>
      </c>
      <c r="B9" s="168"/>
      <c r="C9" s="72">
        <v>11520710</v>
      </c>
      <c r="D9" s="167" t="s">
        <v>207</v>
      </c>
      <c r="E9" s="168"/>
      <c r="F9" s="72">
        <v>9009410</v>
      </c>
      <c r="G9" s="28"/>
      <c r="H9" s="12"/>
      <c r="I9" s="3"/>
      <c r="K9" s="3"/>
    </row>
    <row r="10" spans="1:18" ht="13.5" customHeight="1">
      <c r="A10" s="167" t="s">
        <v>232</v>
      </c>
      <c r="B10" s="168"/>
      <c r="C10" s="72">
        <v>9877480</v>
      </c>
      <c r="D10" s="167" t="s">
        <v>232</v>
      </c>
      <c r="E10" s="168"/>
      <c r="F10" s="72">
        <v>3734000</v>
      </c>
      <c r="G10" s="28"/>
      <c r="H10" s="12"/>
      <c r="I10" s="3"/>
      <c r="K10" s="3"/>
    </row>
    <row r="11" spans="1:18" ht="13.5" customHeight="1">
      <c r="A11" s="167" t="s">
        <v>275</v>
      </c>
      <c r="B11" s="168"/>
      <c r="C11" s="72">
        <v>9658610</v>
      </c>
      <c r="D11" s="167" t="s">
        <v>275</v>
      </c>
      <c r="E11" s="168"/>
      <c r="F11" s="72">
        <v>9291950</v>
      </c>
      <c r="G11" s="28"/>
      <c r="H11" s="12"/>
      <c r="I11" s="3"/>
      <c r="K11" s="3"/>
    </row>
    <row r="12" spans="1:18" ht="13.5" customHeight="1">
      <c r="A12" s="169" t="s">
        <v>208</v>
      </c>
      <c r="B12" s="169"/>
      <c r="C12" s="147">
        <v>31056800</v>
      </c>
      <c r="D12" s="169" t="s">
        <v>208</v>
      </c>
      <c r="E12" s="169"/>
      <c r="F12" s="147">
        <v>22035360</v>
      </c>
      <c r="G12" s="28"/>
      <c r="H12" s="12"/>
      <c r="I12" s="3"/>
      <c r="K12" s="3"/>
    </row>
    <row r="13" spans="1:18" ht="13.5" customHeight="1">
      <c r="A13" s="148"/>
      <c r="B13" s="148"/>
      <c r="C13" s="136"/>
      <c r="D13" s="148"/>
      <c r="E13" s="148"/>
      <c r="F13" s="136"/>
      <c r="G13" s="28"/>
      <c r="H13" s="12"/>
      <c r="I13" s="3"/>
      <c r="K13" s="3"/>
    </row>
    <row r="14" spans="1:18" ht="15.75" customHeight="1">
      <c r="A14" s="11" t="s">
        <v>0</v>
      </c>
      <c r="F14" s="68"/>
      <c r="G14" s="46"/>
      <c r="M14" s="10"/>
    </row>
    <row r="15" spans="1:18" ht="15" customHeight="1">
      <c r="A15" s="13" t="s">
        <v>1</v>
      </c>
      <c r="B15" s="69" t="s">
        <v>62</v>
      </c>
      <c r="C15" s="69" t="s">
        <v>2</v>
      </c>
      <c r="D15" s="34" t="s">
        <v>63</v>
      </c>
      <c r="E15" s="13" t="s">
        <v>3</v>
      </c>
      <c r="F15" s="5"/>
      <c r="G15" s="25"/>
      <c r="H15" s="10"/>
      <c r="I15" s="15"/>
      <c r="J15" s="15"/>
      <c r="K15" s="9"/>
      <c r="L15" s="5"/>
      <c r="M15" s="6"/>
      <c r="N15" s="137"/>
      <c r="O15" s="8"/>
    </row>
    <row r="16" spans="1:18" ht="15.75" customHeight="1">
      <c r="A16" s="16" t="s">
        <v>4</v>
      </c>
      <c r="B16" s="17">
        <f>SUMIF(F39:F59,"RED",M39:M59)</f>
        <v>1255600</v>
      </c>
      <c r="C16" s="17">
        <f>L68*C36</f>
        <v>0</v>
      </c>
      <c r="D16" s="17">
        <f>L75*D36</f>
        <v>0</v>
      </c>
      <c r="E16" s="17">
        <f>SUM(B16:D16)</f>
        <v>1255600</v>
      </c>
      <c r="F16" s="5"/>
      <c r="G16" s="25"/>
      <c r="H16" s="10"/>
      <c r="I16" s="15"/>
      <c r="J16" s="15"/>
      <c r="L16" s="5"/>
      <c r="M16" s="6"/>
      <c r="N16" s="137"/>
      <c r="O16" s="8"/>
    </row>
    <row r="17" spans="1:15" s="5" customFormat="1" ht="15.75" customHeight="1">
      <c r="A17" s="16" t="s">
        <v>5</v>
      </c>
      <c r="B17" s="17">
        <f>SUMIF(F39:F59,"BLUE",M39:M59)</f>
        <v>8403010</v>
      </c>
      <c r="C17" s="186"/>
      <c r="D17" s="186"/>
      <c r="E17" s="17">
        <f>SUM(B17:C17)</f>
        <v>8403010</v>
      </c>
      <c r="G17" s="25"/>
      <c r="H17" s="10"/>
      <c r="I17" s="15"/>
      <c r="J17" s="15"/>
      <c r="K17" s="6"/>
      <c r="M17" s="6"/>
      <c r="N17" s="18"/>
    </row>
    <row r="18" spans="1:15" s="5" customFormat="1" ht="15.75" customHeight="1">
      <c r="A18" s="16" t="s">
        <v>6</v>
      </c>
      <c r="B18" s="17">
        <f>SUMIF(F39:F59,"OEM",M39:M59)</f>
        <v>0</v>
      </c>
      <c r="C18" s="187"/>
      <c r="D18" s="187"/>
      <c r="E18" s="17">
        <f>SUM(B18:C18)</f>
        <v>0</v>
      </c>
      <c r="G18" s="25"/>
      <c r="H18" s="10"/>
      <c r="I18" s="15"/>
      <c r="J18" s="15"/>
      <c r="K18" s="6"/>
      <c r="M18" s="6"/>
      <c r="N18" s="18"/>
    </row>
    <row r="19" spans="1:15" s="5" customFormat="1" ht="15.75" customHeight="1">
      <c r="A19" s="16" t="s">
        <v>7</v>
      </c>
      <c r="B19" s="17">
        <f>SUMIF(F39:F59,"NO LOGO",M39:M59)</f>
        <v>0</v>
      </c>
      <c r="C19" s="187"/>
      <c r="D19" s="187"/>
      <c r="E19" s="17">
        <f>SUM(B19:C19)</f>
        <v>0</v>
      </c>
      <c r="G19" s="25"/>
      <c r="H19" s="10"/>
      <c r="I19" s="15"/>
      <c r="J19" s="15"/>
      <c r="K19" s="6"/>
      <c r="M19" s="6"/>
      <c r="N19" s="18"/>
    </row>
    <row r="20" spans="1:15" s="5" customFormat="1" ht="15.75" customHeight="1">
      <c r="A20" s="13" t="s">
        <v>8</v>
      </c>
      <c r="B20" s="19">
        <f>SUM(B16:B19)</f>
        <v>9658610</v>
      </c>
      <c r="C20" s="19">
        <f>C16</f>
        <v>0</v>
      </c>
      <c r="D20" s="19">
        <f>D16</f>
        <v>0</v>
      </c>
      <c r="E20" s="19">
        <f>SUM(E16:E19)</f>
        <v>9658610</v>
      </c>
      <c r="G20" s="25"/>
      <c r="H20" s="10"/>
      <c r="I20" s="15"/>
      <c r="J20" s="15"/>
      <c r="K20" s="6"/>
      <c r="M20" s="6"/>
      <c r="N20" s="18"/>
    </row>
    <row r="21" spans="1:15" s="5" customFormat="1" ht="15.75" customHeight="1">
      <c r="A21" s="20"/>
      <c r="B21" s="22"/>
      <c r="C21" s="22"/>
      <c r="D21" s="22"/>
      <c r="F21" s="14"/>
      <c r="G21" s="10"/>
      <c r="H21" s="10"/>
      <c r="I21" s="15"/>
      <c r="J21" s="6"/>
      <c r="L21" s="6"/>
      <c r="M21" s="18"/>
    </row>
    <row r="22" spans="1:15" s="5" customFormat="1" ht="15.75" customHeight="1">
      <c r="A22" s="11" t="s">
        <v>9</v>
      </c>
      <c r="B22" s="12"/>
      <c r="C22" s="8"/>
      <c r="D22" s="8"/>
      <c r="F22" s="14"/>
      <c r="G22" s="10"/>
      <c r="H22" s="10"/>
      <c r="I22" s="4"/>
      <c r="J22" s="6"/>
      <c r="L22" s="6"/>
      <c r="M22" s="18"/>
    </row>
    <row r="23" spans="1:15" s="5" customFormat="1" ht="15.75" customHeight="1">
      <c r="A23" s="13" t="s">
        <v>1</v>
      </c>
      <c r="B23" s="69" t="s">
        <v>64</v>
      </c>
      <c r="C23" s="69" t="s">
        <v>2</v>
      </c>
      <c r="D23" s="69" t="s">
        <v>3</v>
      </c>
      <c r="F23" s="14"/>
      <c r="G23" s="10"/>
      <c r="H23" s="10"/>
      <c r="I23" s="15"/>
      <c r="J23" s="15"/>
      <c r="K23" s="24"/>
      <c r="L23" s="6"/>
      <c r="M23" s="18"/>
    </row>
    <row r="24" spans="1:15" s="5" customFormat="1" ht="15.75" customHeight="1">
      <c r="A24" s="16" t="s">
        <v>4</v>
      </c>
      <c r="B24" s="17">
        <f>SUMIFS(K80:K159,O80:O159,"&lt;&gt;"&amp;"CONVUM",O80:O159,"&lt;&gt;"&amp;"MYOTOKU CHINA",F80:F159,"RED")</f>
        <v>232800</v>
      </c>
      <c r="C24" s="17">
        <f>SUMIFS(K80:K159,O80:O159,"CONVUM",F80:F159,"RED")</f>
        <v>0</v>
      </c>
      <c r="D24" s="17">
        <f>SUM(B24:C24)</f>
        <v>232800</v>
      </c>
      <c r="F24" s="14"/>
      <c r="G24" s="10"/>
      <c r="I24" s="15"/>
      <c r="J24" s="6"/>
      <c r="L24" s="6"/>
      <c r="M24" s="18"/>
    </row>
    <row r="25" spans="1:15" s="5" customFormat="1" ht="15.75" customHeight="1">
      <c r="A25" s="16" t="s">
        <v>5</v>
      </c>
      <c r="B25" s="17">
        <f>SUMIFS(K80:K159,O80:O159,"&lt;&gt;"&amp;"CONVUM",O80:O159,"&lt;&gt;"&amp;"MYOTOKU CHINA",F80:F159,"BLUE")</f>
        <v>8722150</v>
      </c>
      <c r="C25" s="186"/>
      <c r="D25" s="17">
        <f>SUM(B25:C25)</f>
        <v>8722150</v>
      </c>
      <c r="F25" s="14"/>
      <c r="G25" s="10"/>
      <c r="H25" s="10"/>
      <c r="I25" s="15"/>
      <c r="J25" s="6"/>
      <c r="L25" s="6"/>
      <c r="M25" s="18"/>
    </row>
    <row r="26" spans="1:15" s="5" customFormat="1" ht="15.75" customHeight="1">
      <c r="A26" s="16" t="s">
        <v>6</v>
      </c>
      <c r="B26" s="17">
        <f>SUMIFS(K80:K159,O80:O159,"&lt;&gt;"&amp;"CONVUM",O80:O159,"&lt;&gt;"&amp;"MYOTOKU CHINA",F80:F159,"OEM")</f>
        <v>337000</v>
      </c>
      <c r="C26" s="187"/>
      <c r="D26" s="17">
        <f>SUM(B26:C26)</f>
        <v>337000</v>
      </c>
      <c r="F26" s="14"/>
      <c r="G26" s="10"/>
      <c r="H26" s="10"/>
      <c r="I26" s="15"/>
      <c r="J26" s="6"/>
      <c r="L26" s="6"/>
      <c r="M26" s="18"/>
    </row>
    <row r="27" spans="1:15" s="5" customFormat="1" ht="15.75" customHeight="1">
      <c r="A27" s="16" t="s">
        <v>7</v>
      </c>
      <c r="B27" s="17">
        <f>SUMIFS(K80:K159,O80:O159,"&lt;&gt;"&amp;"CONVUM",O80:O159,"&lt;&gt;"&amp;"MYOTOKU CHINA",F80:F159,"NO LOGO")</f>
        <v>0</v>
      </c>
      <c r="C27" s="188"/>
      <c r="D27" s="17">
        <f>SUM(B27:C27)</f>
        <v>0</v>
      </c>
      <c r="F27" s="14"/>
      <c r="G27" s="10"/>
      <c r="H27" s="10"/>
      <c r="I27" s="15"/>
      <c r="J27" s="6"/>
      <c r="L27" s="6"/>
      <c r="M27" s="18"/>
    </row>
    <row r="28" spans="1:15" s="5" customFormat="1" ht="15.75" customHeight="1">
      <c r="A28" s="13" t="s">
        <v>8</v>
      </c>
      <c r="B28" s="19">
        <f>SUM(B24:B27)</f>
        <v>9291950</v>
      </c>
      <c r="C28" s="19">
        <f>C24</f>
        <v>0</v>
      </c>
      <c r="D28" s="19">
        <f>SUM(D24:D27)</f>
        <v>9291950</v>
      </c>
      <c r="F28" s="14"/>
      <c r="G28" s="10"/>
      <c r="H28" s="10"/>
      <c r="I28" s="15"/>
      <c r="J28" s="6"/>
      <c r="L28" s="6"/>
      <c r="M28" s="18"/>
    </row>
    <row r="29" spans="1:15" s="5" customFormat="1" ht="15.75" customHeight="1">
      <c r="A29" s="20"/>
      <c r="B29" s="21"/>
      <c r="C29" s="21"/>
      <c r="D29" s="21"/>
      <c r="F29" s="14"/>
      <c r="G29" s="10"/>
      <c r="I29" s="15"/>
      <c r="J29" s="6"/>
      <c r="L29" s="6"/>
      <c r="M29" s="18"/>
    </row>
    <row r="30" spans="1:15" s="5" customFormat="1" ht="15.75" customHeight="1">
      <c r="A30" s="11" t="s">
        <v>10</v>
      </c>
      <c r="B30" s="23"/>
      <c r="C30" s="45"/>
      <c r="D30" s="23"/>
      <c r="F30" s="14"/>
      <c r="G30" s="10"/>
      <c r="H30" s="10"/>
      <c r="I30" s="15"/>
      <c r="J30" s="6"/>
      <c r="L30" s="6"/>
      <c r="M30" s="18"/>
    </row>
    <row r="31" spans="1:15" s="5" customFormat="1" ht="15.75" customHeight="1">
      <c r="A31" s="13" t="s">
        <v>1</v>
      </c>
      <c r="B31" s="13" t="s">
        <v>48</v>
      </c>
      <c r="C31" s="13" t="s">
        <v>2</v>
      </c>
      <c r="D31" s="34" t="s">
        <v>63</v>
      </c>
      <c r="E31" s="13" t="s">
        <v>3</v>
      </c>
      <c r="G31" s="25"/>
      <c r="H31" s="10"/>
      <c r="I31" s="15"/>
      <c r="J31" s="15"/>
      <c r="K31" s="6"/>
      <c r="M31" s="6"/>
      <c r="N31" s="18"/>
    </row>
    <row r="32" spans="1:15" ht="15.75" customHeight="1">
      <c r="A32" s="16" t="s">
        <v>126</v>
      </c>
      <c r="B32" s="17" ph="1">
        <v>85738080</v>
      </c>
      <c r="C32" s="17">
        <f>3868500*C36</f>
        <v>36259063.649999999</v>
      </c>
      <c r="D32" s="17">
        <f>0*D36</f>
        <v>0</v>
      </c>
      <c r="E32" s="17">
        <f>SUM(B32:D32)</f>
        <v>121997143.65000001</v>
      </c>
      <c r="F32" s="5"/>
      <c r="G32" s="133"/>
      <c r="H32" s="5"/>
      <c r="I32" s="6"/>
      <c r="J32" s="6"/>
      <c r="K32" s="6"/>
      <c r="L32" s="5"/>
      <c r="M32" s="6"/>
      <c r="N32" s="137"/>
      <c r="O32" s="8"/>
    </row>
    <row r="33" spans="1:15" ht="15.75" customHeight="1">
      <c r="A33" s="16" t="s">
        <v>230</v>
      </c>
      <c r="B33" s="17" ph="1">
        <v>0</v>
      </c>
      <c r="C33" s="17">
        <f>3760000*C36</f>
        <v>35242104</v>
      </c>
      <c r="D33" s="17">
        <f>0*D36</f>
        <v>0</v>
      </c>
      <c r="E33" s="17">
        <f t="shared" ref="E33:E34" si="0">SUM(B33:D33)</f>
        <v>35242104</v>
      </c>
      <c r="F33" s="5"/>
      <c r="G33" s="133"/>
      <c r="H33" s="5"/>
      <c r="I33" s="6"/>
      <c r="J33" s="6"/>
      <c r="K33" s="6"/>
      <c r="L33" s="5"/>
      <c r="M33" s="6"/>
      <c r="N33" s="137"/>
      <c r="O33" s="8"/>
    </row>
    <row r="34" spans="1:15" ht="15.75" customHeight="1">
      <c r="A34" s="16" t="s">
        <v>92</v>
      </c>
      <c r="B34" s="17">
        <v>200449800</v>
      </c>
      <c r="C34" s="17">
        <f>6926500*C36</f>
        <v>64921391.849999994</v>
      </c>
      <c r="D34" s="17">
        <v>0</v>
      </c>
      <c r="E34" s="17">
        <f t="shared" si="0"/>
        <v>265371191.84999999</v>
      </c>
      <c r="F34" s="10"/>
      <c r="G34" s="25"/>
      <c r="H34" s="5"/>
      <c r="I34" s="6"/>
      <c r="J34" s="6"/>
      <c r="K34" s="6"/>
      <c r="L34" s="5"/>
      <c r="M34" s="6"/>
      <c r="N34" s="137"/>
      <c r="O34" s="8"/>
    </row>
    <row r="35" spans="1:15" ht="15.75" customHeight="1">
      <c r="A35" s="13" t="s">
        <v>8</v>
      </c>
      <c r="B35" s="19">
        <f>SUM(B32:B34)</f>
        <v>286187880</v>
      </c>
      <c r="C35" s="19">
        <f>SUM(C32:C34)</f>
        <v>136422559.5</v>
      </c>
      <c r="D35" s="19">
        <f>SUM(D32:D34)</f>
        <v>0</v>
      </c>
      <c r="E35" s="19">
        <f>SUM(E32:E34)</f>
        <v>422610439.5</v>
      </c>
      <c r="F35" s="5"/>
      <c r="G35" s="133"/>
      <c r="H35" s="5"/>
      <c r="I35" s="6"/>
      <c r="K35" s="26" t="s">
        <v>11</v>
      </c>
      <c r="L35" s="26" t="s">
        <v>67</v>
      </c>
      <c r="M35" s="6"/>
      <c r="N35" s="137"/>
      <c r="O35" s="8"/>
    </row>
    <row r="36" spans="1:15" ht="15.75" customHeight="1">
      <c r="A36" s="47"/>
      <c r="B36" s="46"/>
      <c r="C36" s="93">
        <v>9.3728999999999996</v>
      </c>
      <c r="D36" s="48">
        <v>1464.8</v>
      </c>
      <c r="G36" s="46"/>
      <c r="J36" s="6"/>
      <c r="M36" s="5" t="s">
        <v>68</v>
      </c>
    </row>
    <row r="37" spans="1:15" ht="15.75" customHeight="1">
      <c r="A37" s="189" t="s">
        <v>12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  <c r="N37" s="189"/>
    </row>
    <row r="38" spans="1:15" s="12" customFormat="1" ht="25.9" customHeight="1">
      <c r="A38" s="49" t="s">
        <v>13</v>
      </c>
      <c r="B38" s="49" t="s">
        <v>14</v>
      </c>
      <c r="C38" s="49" t="s">
        <v>15</v>
      </c>
      <c r="D38" s="49" t="s">
        <v>16</v>
      </c>
      <c r="E38" s="49" t="s">
        <v>17</v>
      </c>
      <c r="F38" s="49" t="s">
        <v>18</v>
      </c>
      <c r="G38" s="49" t="s">
        <v>19</v>
      </c>
      <c r="H38" s="27" t="s">
        <v>20</v>
      </c>
      <c r="I38" s="49" t="s">
        <v>65</v>
      </c>
      <c r="J38" s="78" t="s">
        <v>21</v>
      </c>
      <c r="K38" s="144" t="s">
        <v>66</v>
      </c>
      <c r="L38" s="79" t="s">
        <v>22</v>
      </c>
      <c r="M38" s="50" t="s">
        <v>23</v>
      </c>
      <c r="N38" s="50" t="s">
        <v>24</v>
      </c>
      <c r="O38" s="28"/>
    </row>
    <row r="39" spans="1:15" s="12" customFormat="1" ht="16.5" customHeight="1">
      <c r="A39" s="162" t="s">
        <v>77</v>
      </c>
      <c r="B39" s="71" t="s">
        <v>104</v>
      </c>
      <c r="C39" s="71" t="s">
        <v>105</v>
      </c>
      <c r="D39" s="71" t="s">
        <v>78</v>
      </c>
      <c r="E39" s="71" t="s">
        <v>72</v>
      </c>
      <c r="F39" s="74" t="s">
        <v>34</v>
      </c>
      <c r="G39" s="74" t="s">
        <v>276</v>
      </c>
      <c r="H39" s="74" t="s">
        <v>277</v>
      </c>
      <c r="I39" s="71"/>
      <c r="J39" s="77">
        <v>20</v>
      </c>
      <c r="K39" s="80" t="s">
        <v>11</v>
      </c>
      <c r="L39" s="76">
        <v>15400</v>
      </c>
      <c r="M39" s="72">
        <v>308000</v>
      </c>
      <c r="N39" s="159">
        <f>SUM(M39:M45)</f>
        <v>324130</v>
      </c>
      <c r="O39" s="28"/>
    </row>
    <row r="40" spans="1:15" s="12" customFormat="1" ht="16.5" customHeight="1">
      <c r="A40" s="163"/>
      <c r="B40" s="71" t="s">
        <v>104</v>
      </c>
      <c r="C40" s="71" t="s">
        <v>105</v>
      </c>
      <c r="D40" s="71" t="s">
        <v>78</v>
      </c>
      <c r="E40" s="71" t="s">
        <v>46</v>
      </c>
      <c r="F40" s="74" t="s">
        <v>47</v>
      </c>
      <c r="G40" s="74" t="s">
        <v>278</v>
      </c>
      <c r="H40" s="74" t="s">
        <v>279</v>
      </c>
      <c r="I40" s="71"/>
      <c r="J40" s="77">
        <v>1</v>
      </c>
      <c r="K40" s="80" t="s">
        <v>11</v>
      </c>
      <c r="L40" s="76">
        <v>4510</v>
      </c>
      <c r="M40" s="72">
        <v>4510</v>
      </c>
      <c r="N40" s="160"/>
      <c r="O40" s="28"/>
    </row>
    <row r="41" spans="1:15" s="12" customFormat="1" ht="16.5" customHeight="1">
      <c r="A41" s="163"/>
      <c r="B41" s="71" t="s">
        <v>104</v>
      </c>
      <c r="C41" s="71" t="s">
        <v>105</v>
      </c>
      <c r="D41" s="71" t="s">
        <v>78</v>
      </c>
      <c r="E41" s="71" t="s">
        <v>46</v>
      </c>
      <c r="F41" s="74" t="s">
        <v>47</v>
      </c>
      <c r="G41" s="74" t="s">
        <v>280</v>
      </c>
      <c r="H41" s="74" t="s">
        <v>281</v>
      </c>
      <c r="I41" s="71"/>
      <c r="J41" s="77">
        <v>1</v>
      </c>
      <c r="K41" s="80" t="s">
        <v>11</v>
      </c>
      <c r="L41" s="76">
        <v>1910</v>
      </c>
      <c r="M41" s="72">
        <v>1910</v>
      </c>
      <c r="N41" s="160"/>
      <c r="O41" s="28"/>
    </row>
    <row r="42" spans="1:15" s="12" customFormat="1" ht="16.5" customHeight="1">
      <c r="A42" s="163"/>
      <c r="B42" s="71" t="s">
        <v>104</v>
      </c>
      <c r="C42" s="71" t="s">
        <v>105</v>
      </c>
      <c r="D42" s="71" t="s">
        <v>78</v>
      </c>
      <c r="E42" s="71" t="s">
        <v>81</v>
      </c>
      <c r="F42" s="74" t="s">
        <v>47</v>
      </c>
      <c r="G42" s="74" t="s">
        <v>199</v>
      </c>
      <c r="H42" s="74" t="s">
        <v>200</v>
      </c>
      <c r="I42" s="71"/>
      <c r="J42" s="77">
        <v>1</v>
      </c>
      <c r="K42" s="80" t="s">
        <v>11</v>
      </c>
      <c r="L42" s="76">
        <v>1910</v>
      </c>
      <c r="M42" s="72">
        <v>1910</v>
      </c>
      <c r="N42" s="160"/>
      <c r="O42" s="28"/>
    </row>
    <row r="43" spans="1:15" s="12" customFormat="1" ht="16.5" customHeight="1">
      <c r="A43" s="163"/>
      <c r="B43" s="71" t="s">
        <v>104</v>
      </c>
      <c r="C43" s="71" t="s">
        <v>105</v>
      </c>
      <c r="D43" s="71" t="s">
        <v>78</v>
      </c>
      <c r="E43" s="71" t="s">
        <v>46</v>
      </c>
      <c r="F43" s="74" t="s">
        <v>47</v>
      </c>
      <c r="G43" s="74" t="s">
        <v>147</v>
      </c>
      <c r="H43" s="74" t="s">
        <v>148</v>
      </c>
      <c r="I43" s="71"/>
      <c r="J43" s="77">
        <v>1</v>
      </c>
      <c r="K43" s="80" t="s">
        <v>11</v>
      </c>
      <c r="L43" s="76">
        <v>3150</v>
      </c>
      <c r="M43" s="72">
        <v>3150</v>
      </c>
      <c r="N43" s="160"/>
      <c r="O43" s="28"/>
    </row>
    <row r="44" spans="1:15" s="12" customFormat="1" ht="16.5" customHeight="1">
      <c r="A44" s="163"/>
      <c r="B44" s="71" t="s">
        <v>104</v>
      </c>
      <c r="C44" s="71" t="s">
        <v>105</v>
      </c>
      <c r="D44" s="71" t="s">
        <v>78</v>
      </c>
      <c r="E44" s="71" t="s">
        <v>46</v>
      </c>
      <c r="F44" s="74" t="s">
        <v>47</v>
      </c>
      <c r="G44" s="74" t="s">
        <v>84</v>
      </c>
      <c r="H44" s="74" t="s">
        <v>85</v>
      </c>
      <c r="I44" s="71"/>
      <c r="J44" s="77">
        <v>1</v>
      </c>
      <c r="K44" s="80" t="s">
        <v>11</v>
      </c>
      <c r="L44" s="76">
        <v>1910</v>
      </c>
      <c r="M44" s="72">
        <v>1910</v>
      </c>
      <c r="N44" s="160"/>
      <c r="O44" s="28"/>
    </row>
    <row r="45" spans="1:15" s="12" customFormat="1" ht="16.5" customHeight="1">
      <c r="A45" s="164"/>
      <c r="B45" s="71" t="s">
        <v>104</v>
      </c>
      <c r="C45" s="71" t="s">
        <v>105</v>
      </c>
      <c r="D45" s="71" t="s">
        <v>78</v>
      </c>
      <c r="E45" s="71" t="s">
        <v>46</v>
      </c>
      <c r="F45" s="74" t="s">
        <v>47</v>
      </c>
      <c r="G45" s="74" t="s">
        <v>282</v>
      </c>
      <c r="H45" s="74" t="s">
        <v>283</v>
      </c>
      <c r="I45" s="71"/>
      <c r="J45" s="77">
        <v>1</v>
      </c>
      <c r="K45" s="80" t="s">
        <v>11</v>
      </c>
      <c r="L45" s="76">
        <v>2740</v>
      </c>
      <c r="M45" s="72">
        <v>2740</v>
      </c>
      <c r="N45" s="166"/>
      <c r="O45" s="28"/>
    </row>
    <row r="46" spans="1:15" s="12" customFormat="1" ht="16.5" customHeight="1">
      <c r="A46" s="74" t="s">
        <v>266</v>
      </c>
      <c r="B46" s="158" t="s">
        <v>267</v>
      </c>
      <c r="C46" s="71" t="s">
        <v>45</v>
      </c>
      <c r="D46" s="71" t="s">
        <v>78</v>
      </c>
      <c r="E46" s="71" t="s">
        <v>46</v>
      </c>
      <c r="F46" s="74" t="s">
        <v>34</v>
      </c>
      <c r="G46" s="74" t="s">
        <v>284</v>
      </c>
      <c r="H46" s="74" t="s">
        <v>285</v>
      </c>
      <c r="I46" s="71"/>
      <c r="J46" s="77">
        <v>28</v>
      </c>
      <c r="K46" s="80" t="s">
        <v>67</v>
      </c>
      <c r="L46" s="76">
        <v>29500</v>
      </c>
      <c r="M46" s="72">
        <v>826000</v>
      </c>
      <c r="N46" s="81">
        <f>SUM(M46)</f>
        <v>826000</v>
      </c>
      <c r="O46" s="28"/>
    </row>
    <row r="47" spans="1:15" s="12" customFormat="1" ht="16.5" customHeight="1">
      <c r="A47" s="74" t="s">
        <v>286</v>
      </c>
      <c r="B47" s="71" t="s">
        <v>287</v>
      </c>
      <c r="C47" s="71" t="s">
        <v>83</v>
      </c>
      <c r="D47" s="71" t="s">
        <v>80</v>
      </c>
      <c r="E47" s="71" t="s">
        <v>46</v>
      </c>
      <c r="F47" s="74" t="s">
        <v>47</v>
      </c>
      <c r="G47" s="74" t="s">
        <v>141</v>
      </c>
      <c r="H47" s="74" t="s">
        <v>142</v>
      </c>
      <c r="I47" s="71"/>
      <c r="J47" s="77">
        <v>64</v>
      </c>
      <c r="K47" s="80" t="s">
        <v>11</v>
      </c>
      <c r="L47" s="76">
        <v>8000</v>
      </c>
      <c r="M47" s="72">
        <v>512000</v>
      </c>
      <c r="N47" s="81">
        <f>SUM(M47)</f>
        <v>512000</v>
      </c>
      <c r="O47" s="28"/>
    </row>
    <row r="48" spans="1:15" s="12" customFormat="1" ht="16.5" customHeight="1">
      <c r="A48" s="162" t="s">
        <v>82</v>
      </c>
      <c r="B48" s="71" t="s">
        <v>103</v>
      </c>
      <c r="C48" s="71" t="s">
        <v>93</v>
      </c>
      <c r="D48" s="71" t="s">
        <v>78</v>
      </c>
      <c r="E48" s="71" t="s">
        <v>46</v>
      </c>
      <c r="F48" s="74" t="s">
        <v>329</v>
      </c>
      <c r="G48" s="74" t="s">
        <v>288</v>
      </c>
      <c r="H48" s="74" t="s">
        <v>289</v>
      </c>
      <c r="I48" s="71"/>
      <c r="J48" s="77">
        <v>10</v>
      </c>
      <c r="K48" s="80" t="s">
        <v>67</v>
      </c>
      <c r="L48" s="76">
        <v>1100</v>
      </c>
      <c r="M48" s="72">
        <v>11000</v>
      </c>
      <c r="N48" s="159">
        <f>SUM(M48:M50)</f>
        <v>187100</v>
      </c>
      <c r="O48" s="28"/>
    </row>
    <row r="49" spans="1:15" s="12" customFormat="1" ht="16.5" customHeight="1">
      <c r="A49" s="163"/>
      <c r="B49" s="71" t="s">
        <v>103</v>
      </c>
      <c r="C49" s="71" t="s">
        <v>93</v>
      </c>
      <c r="D49" s="71" t="s">
        <v>78</v>
      </c>
      <c r="E49" s="71" t="s">
        <v>46</v>
      </c>
      <c r="F49" s="74" t="s">
        <v>47</v>
      </c>
      <c r="G49" s="74" t="s">
        <v>94</v>
      </c>
      <c r="H49" s="74" t="s">
        <v>95</v>
      </c>
      <c r="I49" s="71"/>
      <c r="J49" s="77">
        <v>12</v>
      </c>
      <c r="K49" s="80" t="s">
        <v>67</v>
      </c>
      <c r="L49" s="76">
        <v>4500</v>
      </c>
      <c r="M49" s="72">
        <v>54000</v>
      </c>
      <c r="N49" s="160"/>
      <c r="O49" s="28"/>
    </row>
    <row r="50" spans="1:15" s="12" customFormat="1" ht="16.5" customHeight="1">
      <c r="A50" s="164"/>
      <c r="B50" s="71" t="s">
        <v>103</v>
      </c>
      <c r="C50" s="71" t="s">
        <v>93</v>
      </c>
      <c r="D50" s="71" t="s">
        <v>78</v>
      </c>
      <c r="E50" s="71" t="s">
        <v>79</v>
      </c>
      <c r="F50" s="74" t="s">
        <v>47</v>
      </c>
      <c r="G50" s="74" t="s">
        <v>290</v>
      </c>
      <c r="H50" s="74" t="s">
        <v>291</v>
      </c>
      <c r="I50" s="71"/>
      <c r="J50" s="77">
        <v>10</v>
      </c>
      <c r="K50" s="80" t="s">
        <v>67</v>
      </c>
      <c r="L50" s="76">
        <v>12210</v>
      </c>
      <c r="M50" s="72">
        <v>122100</v>
      </c>
      <c r="N50" s="166"/>
      <c r="O50" s="28"/>
    </row>
    <row r="51" spans="1:15" s="12" customFormat="1" ht="16.5" customHeight="1">
      <c r="A51" s="162" t="s">
        <v>71</v>
      </c>
      <c r="B51" s="158" t="s">
        <v>292</v>
      </c>
      <c r="C51" s="71" t="s">
        <v>293</v>
      </c>
      <c r="D51" s="71" t="s">
        <v>61</v>
      </c>
      <c r="E51" s="71" t="s">
        <v>46</v>
      </c>
      <c r="F51" s="74" t="s">
        <v>47</v>
      </c>
      <c r="G51" s="74" t="s">
        <v>294</v>
      </c>
      <c r="H51" s="74" t="s">
        <v>295</v>
      </c>
      <c r="I51" s="71"/>
      <c r="J51" s="77">
        <v>106</v>
      </c>
      <c r="K51" s="80" t="s">
        <v>67</v>
      </c>
      <c r="L51" s="76">
        <v>26100</v>
      </c>
      <c r="M51" s="72">
        <v>2766600</v>
      </c>
      <c r="N51" s="159">
        <f>SUM(M51:M53)</f>
        <v>2780900</v>
      </c>
      <c r="O51" s="28"/>
    </row>
    <row r="52" spans="1:15" s="12" customFormat="1" ht="16.5" customHeight="1">
      <c r="A52" s="163"/>
      <c r="B52" s="71" t="s">
        <v>296</v>
      </c>
      <c r="C52" s="71" t="s">
        <v>45</v>
      </c>
      <c r="D52" s="71" t="s">
        <v>61</v>
      </c>
      <c r="E52" s="71" t="s">
        <v>72</v>
      </c>
      <c r="F52" s="74" t="s">
        <v>34</v>
      </c>
      <c r="G52" s="74" t="s">
        <v>297</v>
      </c>
      <c r="H52" s="74" t="s">
        <v>298</v>
      </c>
      <c r="I52" s="71"/>
      <c r="J52" s="77">
        <v>2</v>
      </c>
      <c r="K52" s="80" t="s">
        <v>11</v>
      </c>
      <c r="L52" s="76">
        <v>3900</v>
      </c>
      <c r="M52" s="72">
        <v>7800</v>
      </c>
      <c r="N52" s="160"/>
      <c r="O52" s="28"/>
    </row>
    <row r="53" spans="1:15" s="12" customFormat="1" ht="16.5" customHeight="1">
      <c r="A53" s="164"/>
      <c r="B53" s="71" t="s">
        <v>296</v>
      </c>
      <c r="C53" s="71" t="s">
        <v>45</v>
      </c>
      <c r="D53" s="71" t="s">
        <v>61</v>
      </c>
      <c r="E53" s="71" t="s">
        <v>46</v>
      </c>
      <c r="F53" s="74" t="s">
        <v>47</v>
      </c>
      <c r="G53" s="74" t="s">
        <v>204</v>
      </c>
      <c r="H53" s="74" t="s">
        <v>205</v>
      </c>
      <c r="I53" s="71"/>
      <c r="J53" s="77">
        <v>2</v>
      </c>
      <c r="K53" s="80" t="s">
        <v>11</v>
      </c>
      <c r="L53" s="76">
        <v>3250</v>
      </c>
      <c r="M53" s="72">
        <v>6500</v>
      </c>
      <c r="N53" s="166"/>
      <c r="O53" s="28"/>
    </row>
    <row r="54" spans="1:15" s="12" customFormat="1" ht="16.5" customHeight="1">
      <c r="A54" s="162" t="s">
        <v>74</v>
      </c>
      <c r="B54" s="71" t="s">
        <v>299</v>
      </c>
      <c r="C54" s="71" t="s">
        <v>300</v>
      </c>
      <c r="D54" s="71" t="s">
        <v>61</v>
      </c>
      <c r="E54" s="71" t="s">
        <v>46</v>
      </c>
      <c r="F54" s="74" t="s">
        <v>47</v>
      </c>
      <c r="G54" s="74" t="s">
        <v>301</v>
      </c>
      <c r="H54" s="74" t="s">
        <v>302</v>
      </c>
      <c r="I54" s="71"/>
      <c r="J54" s="77">
        <v>8</v>
      </c>
      <c r="K54" s="80" t="s">
        <v>11</v>
      </c>
      <c r="L54" s="76">
        <v>2460</v>
      </c>
      <c r="M54" s="72">
        <v>19680</v>
      </c>
      <c r="N54" s="159">
        <f>SUM(M54:M59)</f>
        <v>5028480</v>
      </c>
      <c r="O54" s="28"/>
    </row>
    <row r="55" spans="1:15" s="12" customFormat="1" ht="16.5" customHeight="1">
      <c r="A55" s="163"/>
      <c r="B55" s="71" t="s">
        <v>299</v>
      </c>
      <c r="C55" s="71" t="s">
        <v>300</v>
      </c>
      <c r="D55" s="71" t="s">
        <v>61</v>
      </c>
      <c r="E55" s="71" t="s">
        <v>79</v>
      </c>
      <c r="F55" s="74" t="s">
        <v>47</v>
      </c>
      <c r="G55" s="74" t="s">
        <v>303</v>
      </c>
      <c r="H55" s="74" t="s">
        <v>304</v>
      </c>
      <c r="I55" s="71"/>
      <c r="J55" s="77">
        <v>500</v>
      </c>
      <c r="K55" s="80" t="s">
        <v>67</v>
      </c>
      <c r="L55" s="76">
        <v>9000</v>
      </c>
      <c r="M55" s="72">
        <v>4500000</v>
      </c>
      <c r="N55" s="160"/>
      <c r="O55" s="28"/>
    </row>
    <row r="56" spans="1:15" s="12" customFormat="1" ht="16.5" customHeight="1">
      <c r="A56" s="163"/>
      <c r="B56" s="71" t="s">
        <v>75</v>
      </c>
      <c r="C56" s="71" t="s">
        <v>76</v>
      </c>
      <c r="D56" s="71" t="s">
        <v>61</v>
      </c>
      <c r="E56" s="71" t="s">
        <v>46</v>
      </c>
      <c r="F56" s="74" t="s">
        <v>47</v>
      </c>
      <c r="G56" s="74" t="s">
        <v>305</v>
      </c>
      <c r="H56" s="74" t="s">
        <v>306</v>
      </c>
      <c r="I56" s="71"/>
      <c r="J56" s="77">
        <v>40</v>
      </c>
      <c r="K56" s="80" t="s">
        <v>67</v>
      </c>
      <c r="L56" s="76">
        <v>3500</v>
      </c>
      <c r="M56" s="72">
        <v>140000</v>
      </c>
      <c r="N56" s="160"/>
      <c r="O56" s="28"/>
    </row>
    <row r="57" spans="1:15" s="12" customFormat="1" ht="16.5" customHeight="1">
      <c r="A57" s="163"/>
      <c r="B57" s="71" t="s">
        <v>75</v>
      </c>
      <c r="C57" s="71" t="s">
        <v>76</v>
      </c>
      <c r="D57" s="71" t="s">
        <v>61</v>
      </c>
      <c r="E57" s="71" t="s">
        <v>46</v>
      </c>
      <c r="F57" s="74" t="s">
        <v>47</v>
      </c>
      <c r="G57" s="74" t="s">
        <v>171</v>
      </c>
      <c r="H57" s="74" t="s">
        <v>172</v>
      </c>
      <c r="I57" s="71"/>
      <c r="J57" s="77">
        <v>70</v>
      </c>
      <c r="K57" s="80" t="s">
        <v>67</v>
      </c>
      <c r="L57" s="76">
        <v>1500</v>
      </c>
      <c r="M57" s="72">
        <v>105000</v>
      </c>
      <c r="N57" s="160"/>
      <c r="O57" s="28"/>
    </row>
    <row r="58" spans="1:15" s="12" customFormat="1" ht="16.5" customHeight="1">
      <c r="A58" s="163"/>
      <c r="B58" s="71" t="s">
        <v>75</v>
      </c>
      <c r="C58" s="71" t="s">
        <v>76</v>
      </c>
      <c r="D58" s="71" t="s">
        <v>61</v>
      </c>
      <c r="E58" s="71" t="s">
        <v>46</v>
      </c>
      <c r="F58" s="74" t="s">
        <v>47</v>
      </c>
      <c r="G58" s="74" t="s">
        <v>84</v>
      </c>
      <c r="H58" s="74" t="s">
        <v>85</v>
      </c>
      <c r="I58" s="71"/>
      <c r="J58" s="77">
        <v>100</v>
      </c>
      <c r="K58" s="80" t="s">
        <v>67</v>
      </c>
      <c r="L58" s="76">
        <v>1500</v>
      </c>
      <c r="M58" s="72">
        <v>150000</v>
      </c>
      <c r="N58" s="160"/>
      <c r="O58" s="28"/>
    </row>
    <row r="59" spans="1:15" s="12" customFormat="1" ht="16.5" customHeight="1">
      <c r="A59" s="165"/>
      <c r="B59" s="71" t="s">
        <v>307</v>
      </c>
      <c r="C59" s="71" t="s">
        <v>83</v>
      </c>
      <c r="D59" s="71" t="s">
        <v>113</v>
      </c>
      <c r="E59" s="71" t="s">
        <v>46</v>
      </c>
      <c r="F59" s="74" t="s">
        <v>34</v>
      </c>
      <c r="G59" s="74" t="s">
        <v>308</v>
      </c>
      <c r="H59" s="74" t="s">
        <v>330</v>
      </c>
      <c r="I59" s="71"/>
      <c r="J59" s="77">
        <v>2</v>
      </c>
      <c r="K59" s="80" t="s">
        <v>11</v>
      </c>
      <c r="L59" s="76">
        <v>56900</v>
      </c>
      <c r="M59" s="72">
        <v>113800</v>
      </c>
      <c r="N59" s="161"/>
      <c r="O59" s="28"/>
    </row>
    <row r="60" spans="1:15" s="12" customFormat="1" ht="15" customHeight="1">
      <c r="A60" s="83" t="str">
        <f ca="1">MID(CELL("filename",$A$1),FIND("]",CELL("filename",$A$1))+1,100)&amp;" TOTAL"</f>
        <v>2025.12.3(WED) TOTAL</v>
      </c>
      <c r="B60" s="84"/>
      <c r="C60" s="84"/>
      <c r="D60" s="84"/>
      <c r="E60" s="84"/>
      <c r="F60" s="84"/>
      <c r="G60" s="92"/>
      <c r="H60" s="92"/>
      <c r="I60" s="84"/>
      <c r="J60" s="84"/>
      <c r="K60" s="149"/>
      <c r="L60" s="85"/>
      <c r="M60" s="19">
        <f>SUM(M39:M59)</f>
        <v>9658610</v>
      </c>
      <c r="N60" s="44">
        <f>SUM(N39:N59)</f>
        <v>9658610</v>
      </c>
      <c r="O60" s="28"/>
    </row>
    <row r="61" spans="1:15" ht="15.75" customHeight="1">
      <c r="A61" s="51"/>
      <c r="B61" s="52"/>
      <c r="C61" s="52"/>
      <c r="D61" s="52"/>
      <c r="E61" s="52"/>
      <c r="F61" s="52"/>
      <c r="G61" s="52"/>
      <c r="H61" s="29"/>
      <c r="I61" s="52"/>
      <c r="J61" s="52"/>
      <c r="K61" s="52"/>
      <c r="L61" s="53"/>
      <c r="M61" s="54"/>
      <c r="N61" s="53"/>
    </row>
    <row r="62" spans="1:15" ht="20.25" customHeight="1">
      <c r="A62" s="31" t="s">
        <v>70</v>
      </c>
      <c r="B62" s="32"/>
      <c r="C62" s="55"/>
      <c r="D62" s="55"/>
      <c r="E62" s="55"/>
      <c r="F62" s="55"/>
      <c r="G62" s="55"/>
      <c r="H62" s="30"/>
      <c r="I62" s="55"/>
      <c r="J62" s="55"/>
      <c r="K62" s="10"/>
      <c r="L62" s="56"/>
      <c r="M62" s="10"/>
      <c r="N62" s="56"/>
    </row>
    <row r="63" spans="1:15" ht="16.5" hidden="1" customHeight="1">
      <c r="A63" s="31"/>
      <c r="B63" s="32"/>
      <c r="C63" s="55"/>
      <c r="D63" s="55"/>
      <c r="E63" s="55"/>
      <c r="F63" s="55"/>
      <c r="G63" s="55"/>
      <c r="H63" s="30"/>
      <c r="I63" s="55"/>
      <c r="J63" s="55"/>
      <c r="K63" s="10"/>
      <c r="L63" s="56"/>
      <c r="M63" s="10"/>
      <c r="N63" s="56"/>
    </row>
    <row r="64" spans="1:15" ht="16.5" hidden="1" customHeight="1">
      <c r="A64" s="33" t="s">
        <v>25</v>
      </c>
      <c r="B64" s="20"/>
      <c r="C64" s="20"/>
      <c r="D64" s="51"/>
      <c r="E64" s="20"/>
      <c r="F64" s="20"/>
      <c r="G64" s="20"/>
      <c r="H64" s="134"/>
      <c r="I64" s="43"/>
      <c r="J64" s="43"/>
      <c r="K64" s="43"/>
      <c r="L64" s="43"/>
      <c r="M64" s="22"/>
      <c r="N64" s="57"/>
    </row>
    <row r="65" spans="1:15" s="36" customFormat="1" ht="16.5" hidden="1" customHeight="1">
      <c r="A65" s="34" t="s">
        <v>13</v>
      </c>
      <c r="B65" s="34" t="s">
        <v>26</v>
      </c>
      <c r="C65" s="34" t="s">
        <v>27</v>
      </c>
      <c r="D65" s="34" t="s">
        <v>28</v>
      </c>
      <c r="E65" s="34" t="s">
        <v>17</v>
      </c>
      <c r="F65" s="34" t="s">
        <v>29</v>
      </c>
      <c r="G65" s="34" t="s">
        <v>19</v>
      </c>
      <c r="H65" s="34" t="s">
        <v>20</v>
      </c>
      <c r="I65" s="34" t="s">
        <v>21</v>
      </c>
      <c r="J65" s="34" t="s">
        <v>30</v>
      </c>
      <c r="K65" s="34" t="s">
        <v>31</v>
      </c>
      <c r="L65" s="35" t="s">
        <v>32</v>
      </c>
      <c r="M65" s="35" t="s">
        <v>33</v>
      </c>
      <c r="N65" s="133"/>
      <c r="O65" s="37"/>
    </row>
    <row r="66" spans="1:15" ht="16.5" hidden="1" customHeight="1">
      <c r="A66" s="181"/>
      <c r="B66" s="182"/>
      <c r="C66" s="113"/>
      <c r="D66" s="71"/>
      <c r="E66" s="71"/>
      <c r="F66" s="74"/>
      <c r="G66" s="74"/>
      <c r="H66" s="74"/>
      <c r="I66" s="75"/>
      <c r="J66" s="150"/>
      <c r="K66" s="150"/>
      <c r="L66" s="184"/>
      <c r="M66" s="38"/>
      <c r="N66" s="138"/>
    </row>
    <row r="67" spans="1:15" ht="16.5" hidden="1" customHeight="1">
      <c r="A67" s="165"/>
      <c r="B67" s="183"/>
      <c r="C67" s="113"/>
      <c r="D67" s="71"/>
      <c r="E67" s="71"/>
      <c r="F67" s="74"/>
      <c r="G67" s="74"/>
      <c r="H67" s="74"/>
      <c r="I67" s="72"/>
      <c r="J67" s="150"/>
      <c r="K67" s="150"/>
      <c r="L67" s="185"/>
      <c r="M67" s="38"/>
      <c r="N67" s="138"/>
    </row>
    <row r="68" spans="1:15" ht="16.5" hidden="1" customHeight="1">
      <c r="A68" s="170" t="str">
        <f ca="1">A60</f>
        <v>2025.12.3(WED) TOTAL</v>
      </c>
      <c r="B68" s="171"/>
      <c r="C68" s="171"/>
      <c r="D68" s="171"/>
      <c r="E68" s="171"/>
      <c r="F68" s="171"/>
      <c r="G68" s="171"/>
      <c r="H68" s="171"/>
      <c r="I68" s="171"/>
      <c r="J68" s="172"/>
      <c r="K68" s="58">
        <f>SUM(K66:K67)</f>
        <v>0</v>
      </c>
      <c r="L68" s="143">
        <f>SUM(L66)</f>
        <v>0</v>
      </c>
      <c r="M68" s="13"/>
      <c r="N68" s="138"/>
    </row>
    <row r="69" spans="1:15" ht="16.5" hidden="1" customHeight="1">
      <c r="A69" s="51"/>
      <c r="B69" s="20"/>
      <c r="C69" s="20"/>
      <c r="D69" s="51"/>
      <c r="E69" s="20"/>
      <c r="F69" s="20"/>
      <c r="G69" s="20"/>
      <c r="H69" s="134"/>
      <c r="I69" s="43"/>
      <c r="J69" s="43"/>
      <c r="K69" s="43"/>
      <c r="L69" s="43"/>
      <c r="M69" s="22"/>
      <c r="N69" s="57"/>
    </row>
    <row r="70" spans="1:15" s="36" customFormat="1" ht="16.5" hidden="1" customHeight="1">
      <c r="A70" s="34" t="s">
        <v>13</v>
      </c>
      <c r="B70" s="34" t="s">
        <v>26</v>
      </c>
      <c r="C70" s="34" t="s">
        <v>27</v>
      </c>
      <c r="D70" s="34" t="s">
        <v>28</v>
      </c>
      <c r="E70" s="34" t="s">
        <v>17</v>
      </c>
      <c r="F70" s="34" t="s">
        <v>35</v>
      </c>
      <c r="G70" s="34" t="s">
        <v>19</v>
      </c>
      <c r="H70" s="34" t="s">
        <v>20</v>
      </c>
      <c r="I70" s="35" t="s">
        <v>21</v>
      </c>
      <c r="J70" s="35" t="s">
        <v>36</v>
      </c>
      <c r="K70" s="40" t="s">
        <v>37</v>
      </c>
      <c r="L70" s="41" t="s">
        <v>38</v>
      </c>
      <c r="M70" s="40" t="s">
        <v>39</v>
      </c>
      <c r="N70" s="133"/>
      <c r="O70" s="37"/>
    </row>
    <row r="71" spans="1:15" s="36" customFormat="1" ht="16.5" hidden="1" customHeight="1">
      <c r="A71" s="97"/>
      <c r="B71" s="105"/>
      <c r="C71" s="104"/>
      <c r="D71" s="39"/>
      <c r="E71" s="71"/>
      <c r="F71" s="74"/>
      <c r="G71" s="108"/>
      <c r="H71" s="108"/>
      <c r="I71" s="109"/>
      <c r="J71" s="110"/>
      <c r="K71" s="111"/>
      <c r="L71" s="173"/>
      <c r="M71" s="42"/>
      <c r="N71" s="133"/>
      <c r="O71" s="37"/>
    </row>
    <row r="72" spans="1:15" s="36" customFormat="1" ht="16.5" hidden="1" customHeight="1">
      <c r="A72" s="82"/>
      <c r="B72" s="106"/>
      <c r="C72" s="104"/>
      <c r="D72" s="39"/>
      <c r="E72" s="71"/>
      <c r="F72" s="74"/>
      <c r="G72" s="94"/>
      <c r="H72" s="95"/>
      <c r="I72" s="96"/>
      <c r="J72" s="96"/>
      <c r="K72" s="96"/>
      <c r="L72" s="174"/>
      <c r="M72" s="42"/>
      <c r="N72" s="133"/>
      <c r="O72" s="37"/>
    </row>
    <row r="73" spans="1:15" s="36" customFormat="1" ht="16.5" hidden="1" customHeight="1">
      <c r="A73" s="82"/>
      <c r="B73" s="106"/>
      <c r="C73" s="104"/>
      <c r="D73" s="39"/>
      <c r="E73" s="71"/>
      <c r="F73" s="74"/>
      <c r="G73" s="94"/>
      <c r="H73" s="95"/>
      <c r="I73" s="96"/>
      <c r="J73" s="96"/>
      <c r="K73" s="96"/>
      <c r="L73" s="174"/>
      <c r="M73" s="42"/>
      <c r="N73" s="133"/>
      <c r="O73" s="37"/>
    </row>
    <row r="74" spans="1:15" s="36" customFormat="1" ht="16.5" hidden="1" customHeight="1">
      <c r="A74" s="86"/>
      <c r="B74" s="107"/>
      <c r="C74" s="104"/>
      <c r="D74" s="39"/>
      <c r="E74" s="71"/>
      <c r="F74" s="74"/>
      <c r="G74" s="94"/>
      <c r="H74" s="95"/>
      <c r="I74" s="96"/>
      <c r="J74" s="96"/>
      <c r="K74" s="96"/>
      <c r="L74" s="175"/>
      <c r="M74" s="42"/>
      <c r="N74" s="133"/>
      <c r="O74" s="37"/>
    </row>
    <row r="75" spans="1:15" ht="16.5" hidden="1" customHeight="1">
      <c r="A75" s="176" t="str">
        <f ca="1">A60</f>
        <v>2025.12.3(WED) TOTAL</v>
      </c>
      <c r="B75" s="177"/>
      <c r="C75" s="177"/>
      <c r="D75" s="177"/>
      <c r="E75" s="177"/>
      <c r="F75" s="177"/>
      <c r="G75" s="177"/>
      <c r="H75" s="177"/>
      <c r="I75" s="177"/>
      <c r="J75" s="178"/>
      <c r="K75" s="59">
        <f>SUM(K71:K74)</f>
        <v>0</v>
      </c>
      <c r="L75" s="59">
        <f>SUM(L71)</f>
        <v>0</v>
      </c>
      <c r="M75" s="60"/>
      <c r="N75" s="138"/>
    </row>
    <row r="76" spans="1:15" s="4" customFormat="1" ht="16.149999999999999" hidden="1" customHeight="1">
      <c r="A76" s="61"/>
      <c r="B76" s="62"/>
      <c r="C76" s="63"/>
      <c r="D76" s="63"/>
      <c r="E76" s="62"/>
      <c r="F76" s="62"/>
      <c r="G76" s="62"/>
      <c r="H76" s="134"/>
      <c r="I76" s="43"/>
      <c r="J76" s="43"/>
      <c r="K76" s="43"/>
      <c r="L76" s="43"/>
      <c r="M76" s="64"/>
      <c r="N76" s="57"/>
      <c r="O76" s="26"/>
    </row>
    <row r="77" spans="1:15" s="4" customFormat="1" ht="0.75" hidden="1" customHeight="1">
      <c r="A77" s="61"/>
      <c r="B77" s="62"/>
      <c r="C77" s="63"/>
      <c r="D77" s="63"/>
      <c r="E77" s="62"/>
      <c r="F77" s="62"/>
      <c r="G77" s="62"/>
      <c r="H77" s="134"/>
      <c r="I77" s="43"/>
      <c r="J77" s="43"/>
      <c r="K77" s="43"/>
      <c r="L77" s="43"/>
      <c r="M77" s="64"/>
      <c r="N77" s="57"/>
      <c r="O77" s="26"/>
    </row>
    <row r="78" spans="1:15" s="4" customFormat="1" ht="15.75" hidden="1" customHeight="1">
      <c r="A78" s="61"/>
      <c r="B78" s="62"/>
      <c r="C78" s="63"/>
      <c r="D78" s="63"/>
      <c r="E78" s="62"/>
      <c r="F78" s="62"/>
      <c r="G78" s="62"/>
      <c r="H78" s="134"/>
      <c r="I78" s="43"/>
      <c r="J78" s="43"/>
      <c r="K78" s="43"/>
      <c r="L78" s="43"/>
      <c r="M78" s="64"/>
      <c r="N78" s="57"/>
      <c r="O78" s="26"/>
    </row>
    <row r="79" spans="1:15" s="4" customFormat="1" ht="15.75" hidden="1" customHeight="1">
      <c r="A79" s="61"/>
      <c r="B79" s="62"/>
      <c r="C79" s="63"/>
      <c r="D79" s="63"/>
      <c r="E79" s="62"/>
      <c r="F79" s="62"/>
      <c r="G79" s="62"/>
      <c r="H79" s="134"/>
      <c r="I79" s="43"/>
      <c r="J79" s="43"/>
      <c r="K79" s="43"/>
      <c r="L79" s="43"/>
      <c r="M79" s="64"/>
      <c r="N79" s="57"/>
      <c r="O79" s="26"/>
    </row>
    <row r="80" spans="1:15" s="4" customFormat="1" ht="15" hidden="1" customHeight="1">
      <c r="A80" s="43" t="s">
        <v>69</v>
      </c>
      <c r="B80" s="65"/>
      <c r="C80" s="66"/>
      <c r="D80" s="66"/>
      <c r="E80" s="65"/>
      <c r="F80" s="66"/>
      <c r="G80" s="65"/>
      <c r="H80" s="135"/>
      <c r="I80" s="66"/>
      <c r="J80" s="66"/>
      <c r="K80" s="66"/>
      <c r="L80" s="66"/>
      <c r="M80" s="67"/>
      <c r="N80" s="139"/>
      <c r="O80" s="26"/>
    </row>
    <row r="81" spans="1:15" s="4" customFormat="1" ht="15" hidden="1" customHeight="1">
      <c r="A81" s="43"/>
      <c r="B81" s="65"/>
      <c r="C81" s="66"/>
      <c r="D81" s="66"/>
      <c r="E81" s="65"/>
      <c r="F81" s="66"/>
      <c r="G81" s="65"/>
      <c r="H81" s="135"/>
      <c r="I81" s="66"/>
      <c r="J81" s="66"/>
      <c r="K81" s="66"/>
      <c r="L81" s="66"/>
      <c r="M81" s="67"/>
      <c r="N81" s="139"/>
      <c r="O81" s="26"/>
    </row>
    <row r="82" spans="1:15" s="4" customFormat="1" ht="15" hidden="1" customHeight="1">
      <c r="A82" s="43"/>
      <c r="B82" s="65"/>
      <c r="C82" s="66"/>
      <c r="D82" s="66"/>
      <c r="E82" s="65"/>
      <c r="F82" s="66"/>
      <c r="G82" s="65"/>
      <c r="H82" s="135"/>
      <c r="I82" s="66"/>
      <c r="J82" s="66"/>
      <c r="K82" s="66"/>
      <c r="L82" s="66"/>
      <c r="M82" s="67"/>
      <c r="N82" s="139"/>
      <c r="O82" s="26"/>
    </row>
    <row r="83" spans="1:15" s="4" customFormat="1" ht="15" hidden="1" customHeight="1">
      <c r="A83" s="43"/>
      <c r="B83" s="65"/>
      <c r="C83" s="66"/>
      <c r="D83" s="66"/>
      <c r="E83" s="65"/>
      <c r="F83" s="66"/>
      <c r="G83" s="65"/>
      <c r="H83" s="135"/>
      <c r="I83" s="66"/>
      <c r="J83" s="66"/>
      <c r="K83" s="66"/>
      <c r="L83" s="66"/>
      <c r="M83" s="67"/>
      <c r="N83" s="139"/>
      <c r="O83" s="26"/>
    </row>
    <row r="84" spans="1:15" s="4" customFormat="1" ht="15" customHeight="1">
      <c r="A84" s="43"/>
      <c r="B84" s="65"/>
      <c r="C84" s="66"/>
      <c r="D84" s="66"/>
      <c r="E84" s="65"/>
      <c r="F84" s="66"/>
      <c r="G84" s="65"/>
      <c r="H84" s="135"/>
      <c r="I84" s="66"/>
      <c r="J84" s="66"/>
      <c r="K84" s="66"/>
      <c r="L84" s="66"/>
      <c r="M84" s="67"/>
      <c r="N84" s="139"/>
      <c r="O84" s="26"/>
    </row>
    <row r="85" spans="1:15" ht="15" customHeight="1">
      <c r="A85" s="179" t="s">
        <v>40</v>
      </c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</row>
    <row r="86" spans="1:15" s="12" customFormat="1" ht="16.5" customHeight="1">
      <c r="A86" s="13" t="s">
        <v>41</v>
      </c>
      <c r="B86" s="13" t="s">
        <v>26</v>
      </c>
      <c r="C86" s="13" t="s">
        <v>27</v>
      </c>
      <c r="D86" s="13" t="s">
        <v>42</v>
      </c>
      <c r="E86" s="13" t="s">
        <v>17</v>
      </c>
      <c r="F86" s="13" t="s">
        <v>43</v>
      </c>
      <c r="G86" s="13" t="s">
        <v>19</v>
      </c>
      <c r="H86" s="34" t="s">
        <v>20</v>
      </c>
      <c r="I86" s="112" t="s">
        <v>21</v>
      </c>
      <c r="J86" s="112" t="s">
        <v>22</v>
      </c>
      <c r="K86" s="40" t="s">
        <v>44</v>
      </c>
      <c r="L86" s="41" t="s">
        <v>24</v>
      </c>
      <c r="M86" s="180" t="s">
        <v>39</v>
      </c>
      <c r="N86" s="180"/>
      <c r="O86" s="28"/>
    </row>
    <row r="87" spans="1:15" ht="16.5" customHeight="1">
      <c r="A87" s="74" t="s">
        <v>127</v>
      </c>
      <c r="B87" s="71" t="s">
        <v>209</v>
      </c>
      <c r="C87" s="71" t="s">
        <v>45</v>
      </c>
      <c r="D87" s="71" t="s">
        <v>61</v>
      </c>
      <c r="E87" s="71" t="s">
        <v>79</v>
      </c>
      <c r="F87" s="74" t="s">
        <v>47</v>
      </c>
      <c r="G87" s="74" t="s">
        <v>124</v>
      </c>
      <c r="H87" s="74" t="s">
        <v>125</v>
      </c>
      <c r="I87" s="75">
        <v>10</v>
      </c>
      <c r="J87" s="72">
        <v>3600</v>
      </c>
      <c r="K87" s="72">
        <v>36000</v>
      </c>
      <c r="L87" s="81">
        <f>SUM(K87)</f>
        <v>36000</v>
      </c>
      <c r="M87" s="152"/>
      <c r="N87" s="140"/>
    </row>
    <row r="88" spans="1:15" ht="16.5" customHeight="1">
      <c r="A88" s="162" t="s">
        <v>128</v>
      </c>
      <c r="B88" s="71" t="s">
        <v>210</v>
      </c>
      <c r="C88" s="71" t="s">
        <v>45</v>
      </c>
      <c r="D88" s="71" t="s">
        <v>61</v>
      </c>
      <c r="E88" s="71" t="s">
        <v>46</v>
      </c>
      <c r="F88" s="74" t="s">
        <v>47</v>
      </c>
      <c r="G88" s="74" t="s">
        <v>137</v>
      </c>
      <c r="H88" s="74" t="s">
        <v>138</v>
      </c>
      <c r="I88" s="75">
        <v>46</v>
      </c>
      <c r="J88" s="72">
        <v>3100</v>
      </c>
      <c r="K88" s="72">
        <v>142600</v>
      </c>
      <c r="L88" s="159">
        <f>SUM(K88:K89)</f>
        <v>221400</v>
      </c>
      <c r="M88" s="152"/>
      <c r="N88" s="140"/>
    </row>
    <row r="89" spans="1:15" ht="16.5" customHeight="1">
      <c r="A89" s="164"/>
      <c r="B89" s="155" t="s">
        <v>233</v>
      </c>
      <c r="C89" s="71" t="s">
        <v>83</v>
      </c>
      <c r="D89" s="71" t="s">
        <v>113</v>
      </c>
      <c r="E89" s="71" t="s">
        <v>46</v>
      </c>
      <c r="F89" s="74" t="s">
        <v>47</v>
      </c>
      <c r="G89" s="74" t="s">
        <v>234</v>
      </c>
      <c r="H89" s="74" t="s">
        <v>235</v>
      </c>
      <c r="I89" s="75">
        <v>20</v>
      </c>
      <c r="J89" s="72">
        <v>3940</v>
      </c>
      <c r="K89" s="72">
        <v>78800</v>
      </c>
      <c r="L89" s="166"/>
      <c r="M89" s="152"/>
      <c r="N89" s="140"/>
    </row>
    <row r="90" spans="1:15" ht="16.5" customHeight="1">
      <c r="A90" s="162" t="s">
        <v>77</v>
      </c>
      <c r="B90" s="71" t="s">
        <v>104</v>
      </c>
      <c r="C90" s="71" t="s">
        <v>105</v>
      </c>
      <c r="D90" s="71" t="s">
        <v>78</v>
      </c>
      <c r="E90" s="71" t="s">
        <v>79</v>
      </c>
      <c r="F90" s="74" t="s">
        <v>47</v>
      </c>
      <c r="G90" s="74" t="s">
        <v>309</v>
      </c>
      <c r="H90" s="74" t="s">
        <v>310</v>
      </c>
      <c r="I90" s="75">
        <v>25</v>
      </c>
      <c r="J90" s="72">
        <v>30460</v>
      </c>
      <c r="K90" s="72">
        <v>761500</v>
      </c>
      <c r="L90" s="159">
        <f>SUM(K90:K96)</f>
        <v>1432190</v>
      </c>
      <c r="M90" s="152"/>
      <c r="N90" s="140"/>
    </row>
    <row r="91" spans="1:15" ht="16.5" customHeight="1">
      <c r="A91" s="163"/>
      <c r="B91" s="71" t="s">
        <v>123</v>
      </c>
      <c r="C91" s="71" t="s">
        <v>45</v>
      </c>
      <c r="D91" s="71" t="s">
        <v>78</v>
      </c>
      <c r="E91" s="71" t="s">
        <v>46</v>
      </c>
      <c r="F91" s="74" t="s">
        <v>47</v>
      </c>
      <c r="G91" s="74" t="s">
        <v>199</v>
      </c>
      <c r="H91" s="74" t="s">
        <v>200</v>
      </c>
      <c r="I91" s="75">
        <v>100</v>
      </c>
      <c r="J91" s="72">
        <v>1910</v>
      </c>
      <c r="K91" s="72">
        <v>191000</v>
      </c>
      <c r="L91" s="160"/>
      <c r="M91" s="152"/>
      <c r="N91" s="140"/>
    </row>
    <row r="92" spans="1:15" ht="16.5" customHeight="1">
      <c r="A92" s="163"/>
      <c r="B92" s="71" t="s">
        <v>123</v>
      </c>
      <c r="C92" s="71" t="s">
        <v>45</v>
      </c>
      <c r="D92" s="71" t="s">
        <v>78</v>
      </c>
      <c r="E92" s="71" t="s">
        <v>46</v>
      </c>
      <c r="F92" s="74" t="s">
        <v>47</v>
      </c>
      <c r="G92" s="74" t="s">
        <v>311</v>
      </c>
      <c r="H92" s="74" t="s">
        <v>312</v>
      </c>
      <c r="I92" s="75">
        <v>100</v>
      </c>
      <c r="J92" s="72">
        <v>2460</v>
      </c>
      <c r="K92" s="72">
        <v>246000</v>
      </c>
      <c r="L92" s="160"/>
      <c r="M92" s="152"/>
      <c r="N92" s="140"/>
    </row>
    <row r="93" spans="1:15" ht="16.5" customHeight="1">
      <c r="A93" s="163"/>
      <c r="B93" s="71" t="s">
        <v>108</v>
      </c>
      <c r="C93" s="71" t="s">
        <v>45</v>
      </c>
      <c r="D93" s="71" t="s">
        <v>61</v>
      </c>
      <c r="E93" s="71" t="s">
        <v>81</v>
      </c>
      <c r="F93" s="74" t="s">
        <v>47</v>
      </c>
      <c r="G93" s="74" t="s">
        <v>145</v>
      </c>
      <c r="H93" s="74" t="s">
        <v>146</v>
      </c>
      <c r="I93" s="75">
        <v>100</v>
      </c>
      <c r="J93" s="72">
        <v>1200</v>
      </c>
      <c r="K93" s="72">
        <v>120000</v>
      </c>
      <c r="L93" s="160"/>
      <c r="M93" s="152"/>
      <c r="N93" s="140"/>
    </row>
    <row r="94" spans="1:15" ht="16.5" customHeight="1">
      <c r="A94" s="163"/>
      <c r="B94" s="71" t="s">
        <v>108</v>
      </c>
      <c r="C94" s="71" t="s">
        <v>45</v>
      </c>
      <c r="D94" s="71" t="s">
        <v>61</v>
      </c>
      <c r="E94" s="71" t="s">
        <v>81</v>
      </c>
      <c r="F94" s="74" t="s">
        <v>47</v>
      </c>
      <c r="G94" s="74" t="s">
        <v>114</v>
      </c>
      <c r="H94" s="74" t="s">
        <v>115</v>
      </c>
      <c r="I94" s="75">
        <v>100</v>
      </c>
      <c r="J94" s="72">
        <v>1000</v>
      </c>
      <c r="K94" s="72">
        <v>100000</v>
      </c>
      <c r="L94" s="160"/>
      <c r="M94" s="152"/>
      <c r="N94" s="140"/>
    </row>
    <row r="95" spans="1:15" ht="16.5" customHeight="1">
      <c r="A95" s="163"/>
      <c r="B95" s="71" t="s">
        <v>108</v>
      </c>
      <c r="C95" s="71" t="s">
        <v>45</v>
      </c>
      <c r="D95" s="71" t="s">
        <v>61</v>
      </c>
      <c r="E95" s="71" t="s">
        <v>46</v>
      </c>
      <c r="F95" s="74" t="s">
        <v>47</v>
      </c>
      <c r="G95" s="74" t="s">
        <v>114</v>
      </c>
      <c r="H95" s="74" t="s">
        <v>115</v>
      </c>
      <c r="I95" s="75">
        <v>10</v>
      </c>
      <c r="J95" s="72">
        <v>1000</v>
      </c>
      <c r="K95" s="72">
        <v>10000</v>
      </c>
      <c r="L95" s="160"/>
      <c r="M95" s="152"/>
      <c r="N95" s="140"/>
    </row>
    <row r="96" spans="1:15" ht="16.5" customHeight="1">
      <c r="A96" s="164"/>
      <c r="B96" s="71" t="s">
        <v>111</v>
      </c>
      <c r="C96" s="71" t="s">
        <v>112</v>
      </c>
      <c r="D96" s="71" t="s">
        <v>113</v>
      </c>
      <c r="E96" s="71" t="s">
        <v>46</v>
      </c>
      <c r="F96" s="74" t="s">
        <v>47</v>
      </c>
      <c r="G96" s="74" t="s">
        <v>99</v>
      </c>
      <c r="H96" s="74" t="s">
        <v>100</v>
      </c>
      <c r="I96" s="75">
        <v>1</v>
      </c>
      <c r="J96" s="72">
        <v>3690</v>
      </c>
      <c r="K96" s="72">
        <v>3690</v>
      </c>
      <c r="L96" s="166"/>
      <c r="M96" s="152"/>
      <c r="N96" s="140"/>
    </row>
    <row r="97" spans="1:14" ht="16.5" customHeight="1">
      <c r="A97" s="74" t="s">
        <v>136</v>
      </c>
      <c r="B97" s="71" t="s">
        <v>244</v>
      </c>
      <c r="C97" s="71" t="s">
        <v>45</v>
      </c>
      <c r="D97" s="71" t="s">
        <v>61</v>
      </c>
      <c r="E97" s="71" t="s">
        <v>79</v>
      </c>
      <c r="F97" s="74" t="s">
        <v>47</v>
      </c>
      <c r="G97" s="74" t="s">
        <v>313</v>
      </c>
      <c r="H97" s="74" t="s">
        <v>314</v>
      </c>
      <c r="I97" s="75">
        <v>3</v>
      </c>
      <c r="J97" s="72">
        <v>142900</v>
      </c>
      <c r="K97" s="72">
        <v>428700</v>
      </c>
      <c r="L97" s="81">
        <f>SUM(K97)</f>
        <v>428700</v>
      </c>
      <c r="M97" s="152"/>
      <c r="N97" s="140"/>
    </row>
    <row r="98" spans="1:14" ht="16.5" customHeight="1">
      <c r="A98" s="162" t="s">
        <v>139</v>
      </c>
      <c r="B98" s="71" t="s">
        <v>315</v>
      </c>
      <c r="C98" s="71" t="s">
        <v>45</v>
      </c>
      <c r="D98" s="71" t="s">
        <v>78</v>
      </c>
      <c r="E98" s="71" t="s">
        <v>79</v>
      </c>
      <c r="F98" s="74" t="s">
        <v>47</v>
      </c>
      <c r="G98" s="74" t="s">
        <v>316</v>
      </c>
      <c r="H98" s="74" t="s">
        <v>317</v>
      </c>
      <c r="I98" s="75">
        <v>12</v>
      </c>
      <c r="J98" s="72">
        <v>10240</v>
      </c>
      <c r="K98" s="72">
        <v>122880</v>
      </c>
      <c r="L98" s="159">
        <f>SUM(K98:K100)</f>
        <v>282880</v>
      </c>
      <c r="M98" s="152"/>
      <c r="N98" s="140"/>
    </row>
    <row r="99" spans="1:14" ht="16.5" customHeight="1">
      <c r="A99" s="163"/>
      <c r="B99" s="71" t="s">
        <v>315</v>
      </c>
      <c r="C99" s="71" t="s">
        <v>45</v>
      </c>
      <c r="D99" s="71" t="s">
        <v>78</v>
      </c>
      <c r="E99" s="71" t="s">
        <v>46</v>
      </c>
      <c r="F99" s="74" t="s">
        <v>47</v>
      </c>
      <c r="G99" s="74" t="s">
        <v>318</v>
      </c>
      <c r="H99" s="74" t="s">
        <v>319</v>
      </c>
      <c r="I99" s="75">
        <v>3</v>
      </c>
      <c r="J99" s="72">
        <v>21000</v>
      </c>
      <c r="K99" s="72">
        <v>63000</v>
      </c>
      <c r="L99" s="160"/>
      <c r="M99" s="152"/>
      <c r="N99" s="140"/>
    </row>
    <row r="100" spans="1:14" ht="16.5" customHeight="1">
      <c r="A100" s="164"/>
      <c r="B100" s="71" t="s">
        <v>177</v>
      </c>
      <c r="C100" s="71" t="s">
        <v>83</v>
      </c>
      <c r="D100" s="71" t="s">
        <v>61</v>
      </c>
      <c r="E100" s="71" t="s">
        <v>46</v>
      </c>
      <c r="F100" s="74" t="s">
        <v>47</v>
      </c>
      <c r="G100" s="74" t="s">
        <v>201</v>
      </c>
      <c r="H100" s="74" t="s">
        <v>202</v>
      </c>
      <c r="I100" s="75">
        <v>50</v>
      </c>
      <c r="J100" s="72">
        <v>1940</v>
      </c>
      <c r="K100" s="72">
        <v>97000</v>
      </c>
      <c r="L100" s="166"/>
      <c r="M100" s="152"/>
      <c r="N100" s="140"/>
    </row>
    <row r="101" spans="1:14" ht="16.5" customHeight="1">
      <c r="A101" s="162" t="s">
        <v>73</v>
      </c>
      <c r="B101" s="155" t="s">
        <v>320</v>
      </c>
      <c r="C101" s="71" t="s">
        <v>45</v>
      </c>
      <c r="D101" s="71" t="s">
        <v>61</v>
      </c>
      <c r="E101" s="71" t="s">
        <v>79</v>
      </c>
      <c r="F101" s="74" t="s">
        <v>47</v>
      </c>
      <c r="G101" s="74" t="s">
        <v>321</v>
      </c>
      <c r="H101" s="74" t="s">
        <v>322</v>
      </c>
      <c r="I101" s="75">
        <v>5</v>
      </c>
      <c r="J101" s="72">
        <v>395000</v>
      </c>
      <c r="K101" s="72">
        <v>1975000</v>
      </c>
      <c r="L101" s="159">
        <f>SUM(K101:K103)</f>
        <v>3337000</v>
      </c>
      <c r="M101" s="152"/>
      <c r="N101" s="140"/>
    </row>
    <row r="102" spans="1:14" ht="16.5" customHeight="1">
      <c r="A102" s="163"/>
      <c r="B102" s="71" t="s">
        <v>131</v>
      </c>
      <c r="C102" s="71" t="s">
        <v>45</v>
      </c>
      <c r="D102" s="71" t="s">
        <v>61</v>
      </c>
      <c r="E102" s="71" t="s">
        <v>46</v>
      </c>
      <c r="F102" s="74" t="s">
        <v>47</v>
      </c>
      <c r="G102" s="74" t="s">
        <v>167</v>
      </c>
      <c r="H102" s="74" t="s">
        <v>168</v>
      </c>
      <c r="I102" s="75">
        <v>300</v>
      </c>
      <c r="J102" s="72">
        <v>2180</v>
      </c>
      <c r="K102" s="72">
        <v>654000</v>
      </c>
      <c r="L102" s="160"/>
      <c r="M102" s="152"/>
      <c r="N102" s="140"/>
    </row>
    <row r="103" spans="1:14" ht="16.5" customHeight="1">
      <c r="A103" s="164"/>
      <c r="B103" s="71" t="s">
        <v>131</v>
      </c>
      <c r="C103" s="71" t="s">
        <v>45</v>
      </c>
      <c r="D103" s="71" t="s">
        <v>61</v>
      </c>
      <c r="E103" s="71" t="s">
        <v>46</v>
      </c>
      <c r="F103" s="74" t="s">
        <v>47</v>
      </c>
      <c r="G103" s="74" t="s">
        <v>101</v>
      </c>
      <c r="H103" s="74" t="s">
        <v>102</v>
      </c>
      <c r="I103" s="75">
        <v>400</v>
      </c>
      <c r="J103" s="72">
        <v>1770</v>
      </c>
      <c r="K103" s="72">
        <v>708000</v>
      </c>
      <c r="L103" s="166"/>
      <c r="M103" s="152"/>
      <c r="N103" s="140"/>
    </row>
    <row r="104" spans="1:14" ht="16.5" customHeight="1">
      <c r="A104" s="162" t="s">
        <v>82</v>
      </c>
      <c r="B104" s="71" t="s">
        <v>323</v>
      </c>
      <c r="C104" s="71" t="s">
        <v>248</v>
      </c>
      <c r="D104" s="71" t="s">
        <v>61</v>
      </c>
      <c r="E104" s="71" t="s">
        <v>79</v>
      </c>
      <c r="F104" s="74" t="s">
        <v>47</v>
      </c>
      <c r="G104" s="74" t="s">
        <v>324</v>
      </c>
      <c r="H104" s="74" t="s">
        <v>325</v>
      </c>
      <c r="I104" s="75">
        <v>4</v>
      </c>
      <c r="J104" s="72">
        <v>204600</v>
      </c>
      <c r="K104" s="72">
        <v>818400</v>
      </c>
      <c r="L104" s="159">
        <f>SUM(K104:K108)</f>
        <v>1398880</v>
      </c>
      <c r="M104" s="152"/>
      <c r="N104" s="140"/>
    </row>
    <row r="105" spans="1:14" ht="16.5" customHeight="1">
      <c r="A105" s="163"/>
      <c r="B105" s="71" t="s">
        <v>163</v>
      </c>
      <c r="C105" s="71" t="s">
        <v>112</v>
      </c>
      <c r="D105" s="71" t="s">
        <v>113</v>
      </c>
      <c r="E105" s="71" t="s">
        <v>79</v>
      </c>
      <c r="F105" s="74" t="s">
        <v>164</v>
      </c>
      <c r="G105" s="74" t="s">
        <v>165</v>
      </c>
      <c r="H105" s="74" t="s">
        <v>166</v>
      </c>
      <c r="I105" s="75">
        <v>2</v>
      </c>
      <c r="J105" s="72">
        <v>168500</v>
      </c>
      <c r="K105" s="72">
        <v>337000</v>
      </c>
      <c r="L105" s="160"/>
      <c r="M105" s="152"/>
      <c r="N105" s="140"/>
    </row>
    <row r="106" spans="1:14" ht="16.5" customHeight="1">
      <c r="A106" s="163"/>
      <c r="B106" s="71" t="s">
        <v>223</v>
      </c>
      <c r="C106" s="71" t="s">
        <v>45</v>
      </c>
      <c r="D106" s="71" t="s">
        <v>113</v>
      </c>
      <c r="E106" s="71" t="s">
        <v>46</v>
      </c>
      <c r="F106" s="74" t="s">
        <v>34</v>
      </c>
      <c r="G106" s="74" t="s">
        <v>143</v>
      </c>
      <c r="H106" s="74" t="s">
        <v>144</v>
      </c>
      <c r="I106" s="75">
        <v>3</v>
      </c>
      <c r="J106" s="72">
        <v>50600</v>
      </c>
      <c r="K106" s="72">
        <v>151800</v>
      </c>
      <c r="L106" s="160"/>
      <c r="M106" s="152"/>
      <c r="N106" s="140"/>
    </row>
    <row r="107" spans="1:14" ht="16.5" customHeight="1">
      <c r="A107" s="163"/>
      <c r="B107" s="71" t="s">
        <v>132</v>
      </c>
      <c r="C107" s="71" t="s">
        <v>45</v>
      </c>
      <c r="D107" s="71" t="s">
        <v>61</v>
      </c>
      <c r="E107" s="71" t="s">
        <v>46</v>
      </c>
      <c r="F107" s="74" t="s">
        <v>34</v>
      </c>
      <c r="G107" s="74" t="s">
        <v>88</v>
      </c>
      <c r="H107" s="74" t="s">
        <v>89</v>
      </c>
      <c r="I107" s="75">
        <v>15</v>
      </c>
      <c r="J107" s="72">
        <v>5400</v>
      </c>
      <c r="K107" s="72">
        <v>81000</v>
      </c>
      <c r="L107" s="160"/>
      <c r="M107" s="152"/>
      <c r="N107" s="140"/>
    </row>
    <row r="108" spans="1:14" ht="16.5" customHeight="1">
      <c r="A108" s="164"/>
      <c r="B108" s="71" t="s">
        <v>251</v>
      </c>
      <c r="C108" s="71" t="s">
        <v>83</v>
      </c>
      <c r="D108" s="71" t="s">
        <v>113</v>
      </c>
      <c r="E108" s="71" t="s">
        <v>46</v>
      </c>
      <c r="F108" s="74" t="s">
        <v>47</v>
      </c>
      <c r="G108" s="74" t="s">
        <v>252</v>
      </c>
      <c r="H108" s="74" t="s">
        <v>253</v>
      </c>
      <c r="I108" s="75">
        <v>6</v>
      </c>
      <c r="J108" s="72">
        <v>1780</v>
      </c>
      <c r="K108" s="72">
        <v>10680</v>
      </c>
      <c r="L108" s="166"/>
      <c r="M108" s="152"/>
      <c r="N108" s="140"/>
    </row>
    <row r="109" spans="1:14" ht="16.5" customHeight="1">
      <c r="A109" s="74" t="s">
        <v>71</v>
      </c>
      <c r="B109" s="71" t="s">
        <v>140</v>
      </c>
      <c r="C109" s="71" t="s">
        <v>112</v>
      </c>
      <c r="D109" s="71" t="s">
        <v>113</v>
      </c>
      <c r="E109" s="71" t="s">
        <v>46</v>
      </c>
      <c r="F109" s="74" t="s">
        <v>47</v>
      </c>
      <c r="G109" s="74" t="s">
        <v>161</v>
      </c>
      <c r="H109" s="74" t="s">
        <v>162</v>
      </c>
      <c r="I109" s="75">
        <v>400</v>
      </c>
      <c r="J109" s="72">
        <v>4040</v>
      </c>
      <c r="K109" s="72">
        <v>1616000</v>
      </c>
      <c r="L109" s="81">
        <f>SUM(K109)</f>
        <v>1616000</v>
      </c>
      <c r="M109" s="152"/>
      <c r="N109" s="140"/>
    </row>
    <row r="110" spans="1:14" ht="16.5" customHeight="1">
      <c r="A110" s="162" t="s">
        <v>328</v>
      </c>
      <c r="B110" s="71" t="s">
        <v>75</v>
      </c>
      <c r="C110" s="71" t="s">
        <v>76</v>
      </c>
      <c r="D110" s="71" t="s">
        <v>61</v>
      </c>
      <c r="E110" s="71" t="s">
        <v>81</v>
      </c>
      <c r="F110" s="74" t="s">
        <v>47</v>
      </c>
      <c r="G110" s="74" t="s">
        <v>326</v>
      </c>
      <c r="H110" s="74" t="s">
        <v>327</v>
      </c>
      <c r="I110" s="75">
        <v>52</v>
      </c>
      <c r="J110" s="72">
        <v>1900</v>
      </c>
      <c r="K110" s="72">
        <v>98800</v>
      </c>
      <c r="L110" s="159">
        <f>SUM(K110:K112)</f>
        <v>538900</v>
      </c>
      <c r="M110" s="152"/>
      <c r="N110" s="140"/>
    </row>
    <row r="111" spans="1:14" ht="16.5" customHeight="1">
      <c r="A111" s="163"/>
      <c r="B111" s="71" t="s">
        <v>75</v>
      </c>
      <c r="C111" s="71" t="s">
        <v>76</v>
      </c>
      <c r="D111" s="71" t="s">
        <v>61</v>
      </c>
      <c r="E111" s="71" t="s">
        <v>46</v>
      </c>
      <c r="F111" s="74" t="s">
        <v>47</v>
      </c>
      <c r="G111" s="74" t="s">
        <v>224</v>
      </c>
      <c r="H111" s="74" t="s">
        <v>225</v>
      </c>
      <c r="I111" s="75">
        <v>48</v>
      </c>
      <c r="J111" s="72">
        <v>7950</v>
      </c>
      <c r="K111" s="72">
        <v>381600</v>
      </c>
      <c r="L111" s="160"/>
      <c r="M111" s="152"/>
      <c r="N111" s="140"/>
    </row>
    <row r="112" spans="1:14" ht="16.5" customHeight="1">
      <c r="A112" s="165"/>
      <c r="B112" s="71" t="s">
        <v>75</v>
      </c>
      <c r="C112" s="71" t="s">
        <v>76</v>
      </c>
      <c r="D112" s="71" t="s">
        <v>61</v>
      </c>
      <c r="E112" s="71" t="s">
        <v>46</v>
      </c>
      <c r="F112" s="74" t="s">
        <v>47</v>
      </c>
      <c r="G112" s="74" t="s">
        <v>197</v>
      </c>
      <c r="H112" s="74" t="s">
        <v>198</v>
      </c>
      <c r="I112" s="75">
        <v>10</v>
      </c>
      <c r="J112" s="72">
        <v>5850</v>
      </c>
      <c r="K112" s="72">
        <v>58500</v>
      </c>
      <c r="L112" s="161"/>
      <c r="M112" s="152"/>
      <c r="N112" s="140"/>
    </row>
    <row r="113" spans="1:15" ht="17.25" customHeight="1">
      <c r="A113" s="87" t="str">
        <f ca="1">MID(CELL("filename",$A$1),FIND("]",CELL("filename",$A$1))+1,100)&amp;" TOTAL"</f>
        <v>2025.12.3(WED) TOTAL</v>
      </c>
      <c r="B113" s="88"/>
      <c r="C113" s="88"/>
      <c r="D113" s="88"/>
      <c r="E113" s="88"/>
      <c r="F113" s="92"/>
      <c r="G113" s="92"/>
      <c r="H113" s="92"/>
      <c r="I113" s="88"/>
      <c r="J113" s="89"/>
      <c r="K113" s="44">
        <f>SUM(K87:K112)</f>
        <v>9291950</v>
      </c>
      <c r="L113" s="44">
        <f>SUM(L87:L112)</f>
        <v>9291950</v>
      </c>
      <c r="M113" s="90"/>
      <c r="N113" s="141"/>
    </row>
    <row r="114" spans="1:15" ht="12.75" customHeight="1"/>
    <row r="115" spans="1:15" s="12" customFormat="1">
      <c r="C115" s="8"/>
      <c r="D115" s="8"/>
      <c r="H115" s="132"/>
      <c r="I115" s="4"/>
      <c r="J115" s="4"/>
      <c r="K115" s="4"/>
      <c r="L115" s="4"/>
      <c r="M115" s="5"/>
      <c r="N115" s="6"/>
      <c r="O115" s="7"/>
    </row>
    <row r="119" spans="1:15" s="4" customFormat="1">
      <c r="A119" s="12"/>
      <c r="B119" s="12"/>
      <c r="C119" s="8"/>
      <c r="D119" s="8"/>
      <c r="E119" s="12"/>
      <c r="F119" s="12"/>
      <c r="G119" s="12"/>
      <c r="H119" s="24"/>
      <c r="M119" s="5"/>
      <c r="N119" s="6"/>
      <c r="O119" s="7"/>
    </row>
    <row r="120" spans="1:15" s="4" customFormat="1">
      <c r="A120" s="12"/>
      <c r="B120" s="12"/>
      <c r="C120" s="8"/>
      <c r="D120" s="8"/>
      <c r="E120" s="12"/>
      <c r="F120" s="12"/>
      <c r="G120" s="12"/>
      <c r="H120" s="132"/>
      <c r="J120" s="91"/>
      <c r="M120" s="5"/>
      <c r="N120" s="6"/>
      <c r="O120" s="7"/>
    </row>
    <row r="121" spans="1:15" s="4" customFormat="1">
      <c r="A121" s="12"/>
      <c r="B121" s="12"/>
      <c r="C121" s="8"/>
      <c r="D121" s="8"/>
      <c r="E121" s="12"/>
      <c r="F121" s="12"/>
      <c r="G121" s="12"/>
      <c r="H121" s="132"/>
      <c r="J121" s="2"/>
      <c r="M121" s="5"/>
      <c r="N121" s="6"/>
      <c r="O121" s="7"/>
    </row>
    <row r="122" spans="1:15">
      <c r="J122" s="3"/>
    </row>
    <row r="123" spans="1:15" s="4" customFormat="1">
      <c r="A123" s="12"/>
      <c r="B123" s="12"/>
      <c r="C123" s="8"/>
      <c r="D123" s="8"/>
      <c r="E123" s="12"/>
      <c r="F123" s="12"/>
      <c r="G123" s="12"/>
      <c r="H123" s="132"/>
      <c r="J123" s="3"/>
      <c r="M123" s="5"/>
      <c r="N123" s="6"/>
      <c r="O123" s="7"/>
    </row>
    <row r="124" spans="1:15" s="4" customFormat="1">
      <c r="A124" s="12"/>
      <c r="B124" s="12"/>
      <c r="C124" s="8"/>
      <c r="D124" s="8"/>
      <c r="E124" s="12"/>
      <c r="F124" s="12"/>
      <c r="G124" s="12"/>
      <c r="H124" s="132"/>
      <c r="J124" s="3"/>
      <c r="M124" s="5"/>
      <c r="N124" s="6"/>
      <c r="O124" s="7"/>
    </row>
    <row r="125" spans="1:15" s="4" customFormat="1">
      <c r="A125" s="12"/>
      <c r="B125" s="12"/>
      <c r="C125" s="8"/>
      <c r="D125" s="8"/>
      <c r="E125" s="12"/>
      <c r="F125" s="12"/>
      <c r="G125" s="12"/>
      <c r="H125" s="132"/>
      <c r="J125" s="3"/>
      <c r="M125" s="5"/>
      <c r="N125" s="6"/>
      <c r="O125" s="7"/>
    </row>
  </sheetData>
  <mergeCells count="45">
    <mergeCell ref="A1:F1"/>
    <mergeCell ref="A2:E2"/>
    <mergeCell ref="A7:F7"/>
    <mergeCell ref="A8:C8"/>
    <mergeCell ref="D8:F8"/>
    <mergeCell ref="N48:N50"/>
    <mergeCell ref="N51:N53"/>
    <mergeCell ref="N54:N59"/>
    <mergeCell ref="A9:B9"/>
    <mergeCell ref="D9:E9"/>
    <mergeCell ref="A10:B10"/>
    <mergeCell ref="D10:E10"/>
    <mergeCell ref="C17:C19"/>
    <mergeCell ref="D17:D19"/>
    <mergeCell ref="A75:J75"/>
    <mergeCell ref="A85:N85"/>
    <mergeCell ref="M86:N86"/>
    <mergeCell ref="A88:A89"/>
    <mergeCell ref="A66:A67"/>
    <mergeCell ref="B66:B67"/>
    <mergeCell ref="L66:L67"/>
    <mergeCell ref="A48:A50"/>
    <mergeCell ref="A51:A53"/>
    <mergeCell ref="A54:A59"/>
    <mergeCell ref="A68:J68"/>
    <mergeCell ref="L71:L74"/>
    <mergeCell ref="A11:B11"/>
    <mergeCell ref="D11:E11"/>
    <mergeCell ref="A12:B12"/>
    <mergeCell ref="D12:E12"/>
    <mergeCell ref="A39:A45"/>
    <mergeCell ref="C25:C27"/>
    <mergeCell ref="A37:N37"/>
    <mergeCell ref="N39:N45"/>
    <mergeCell ref="L88:L89"/>
    <mergeCell ref="L90:L96"/>
    <mergeCell ref="L98:L100"/>
    <mergeCell ref="L101:L103"/>
    <mergeCell ref="L104:L108"/>
    <mergeCell ref="L110:L112"/>
    <mergeCell ref="A90:A96"/>
    <mergeCell ref="A98:A100"/>
    <mergeCell ref="A101:A103"/>
    <mergeCell ref="A104:A108"/>
    <mergeCell ref="A110:A112"/>
  </mergeCells>
  <phoneticPr fontId="8" type="noConversion"/>
  <conditionalFormatting sqref="D21:D30 F36:F1048576">
    <cfRule type="containsText" dxfId="35" priority="10" operator="containsText" text="NO LOGO">
      <formula>NOT(ISERROR(SEARCH("NO LOGO",D21)))</formula>
    </cfRule>
    <cfRule type="containsText" dxfId="34" priority="11" operator="containsText" text="BLUE">
      <formula>NOT(ISERROR(SEARCH("BLUE",D21)))</formula>
    </cfRule>
    <cfRule type="containsText" dxfId="33" priority="12" operator="containsText" text="RED">
      <formula>NOT(ISERROR(SEARCH("RED",D21)))</formula>
    </cfRule>
  </conditionalFormatting>
  <conditionalFormatting sqref="E15:E20 E31:E35">
    <cfRule type="containsText" dxfId="32" priority="16" operator="containsText" text="NO LOGO">
      <formula>NOT(ISERROR(SEARCH("NO LOGO",E15)))</formula>
    </cfRule>
    <cfRule type="containsText" dxfId="31" priority="17" operator="containsText" text="BLUE">
      <formula>NOT(ISERROR(SEARCH("BLUE",E15)))</formula>
    </cfRule>
    <cfRule type="containsText" dxfId="30" priority="18" operator="containsText" text="RED">
      <formula>NOT(ISERROR(SEARCH("RED",E15)))</formula>
    </cfRule>
  </conditionalFormatting>
  <conditionalFormatting sqref="F1:F8">
    <cfRule type="containsText" dxfId="29" priority="1" operator="containsText" text="NO LOGO">
      <formula>NOT(ISERROR(SEARCH("NO LOGO",F1)))</formula>
    </cfRule>
    <cfRule type="containsText" dxfId="28" priority="2" operator="containsText" text="BLUE">
      <formula>NOT(ISERROR(SEARCH("BLUE",F1)))</formula>
    </cfRule>
    <cfRule type="containsText" dxfId="27" priority="3" operator="containsText" text="RED">
      <formula>NOT(ISERROR(SEARCH("RED",F1)))</formula>
    </cfRule>
  </conditionalFormatting>
  <conditionalFormatting sqref="F14">
    <cfRule type="containsText" dxfId="26" priority="13" operator="containsText" text="NO LOGO">
      <formula>NOT(ISERROR(SEARCH("NO LOGO",F14)))</formula>
    </cfRule>
    <cfRule type="containsText" dxfId="25" priority="14" operator="containsText" text="BLUE">
      <formula>NOT(ISERROR(SEARCH("BLUE",F14)))</formula>
    </cfRule>
    <cfRule type="containsText" dxfId="24" priority="15" operator="containsText" text="RED">
      <formula>NOT(ISERROR(SEARCH("RED",F14)))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750D-B63B-4049-9600-29C760091DBB}">
  <dimension ref="A1:R103"/>
  <sheetViews>
    <sheetView showGridLines="0" zoomScale="80" zoomScaleNormal="80" workbookViewId="0">
      <selection activeCell="A11" sqref="A11:F11"/>
    </sheetView>
  </sheetViews>
  <sheetFormatPr defaultColWidth="18.5703125" defaultRowHeight="13.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>
      <c r="A1" s="191" t="s">
        <v>231</v>
      </c>
      <c r="B1" s="191"/>
      <c r="C1" s="191"/>
      <c r="D1" s="191"/>
      <c r="E1" s="191"/>
      <c r="F1" s="191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>
      <c r="A2" s="192" t="s">
        <v>49</v>
      </c>
      <c r="B2" s="192"/>
      <c r="C2" s="192"/>
      <c r="D2" s="192"/>
      <c r="E2" s="192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>
      <c r="A4" s="71" t="s">
        <v>56</v>
      </c>
      <c r="B4" s="72">
        <v>9009410</v>
      </c>
      <c r="C4" s="72">
        <v>350476000</v>
      </c>
      <c r="D4" s="75">
        <v>0</v>
      </c>
      <c r="E4" s="73">
        <v>2.5999999999999999E-2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>
      <c r="A5" s="71" t="s">
        <v>57</v>
      </c>
      <c r="B5" s="72">
        <v>9009410</v>
      </c>
      <c r="C5" s="72">
        <v>322041000</v>
      </c>
      <c r="D5" s="75">
        <v>0</v>
      </c>
      <c r="E5" s="73">
        <v>2.8000000000000001E-2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>
      <c r="A7" s="193"/>
      <c r="B7" s="194"/>
      <c r="C7" s="194"/>
      <c r="D7" s="194"/>
      <c r="E7" s="194"/>
      <c r="F7" s="195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>
      <c r="A8" s="196" t="s">
        <v>59</v>
      </c>
      <c r="B8" s="196"/>
      <c r="C8" s="196"/>
      <c r="D8" s="196" t="s">
        <v>60</v>
      </c>
      <c r="E8" s="196"/>
      <c r="F8" s="196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>
      <c r="A9" s="167" t="s">
        <v>207</v>
      </c>
      <c r="B9" s="168"/>
      <c r="C9" s="72">
        <v>11520710</v>
      </c>
      <c r="D9" s="167" t="s">
        <v>207</v>
      </c>
      <c r="E9" s="168"/>
      <c r="F9" s="72">
        <v>9009410</v>
      </c>
      <c r="G9" s="28"/>
      <c r="H9" s="12"/>
      <c r="I9" s="3"/>
      <c r="K9" s="3"/>
    </row>
    <row r="10" spans="1:18" ht="13.5" customHeight="1">
      <c r="A10" s="167" t="s">
        <v>232</v>
      </c>
      <c r="B10" s="168"/>
      <c r="C10" s="72">
        <v>9877480</v>
      </c>
      <c r="D10" s="167" t="s">
        <v>232</v>
      </c>
      <c r="E10" s="168"/>
      <c r="F10" s="72">
        <v>3734000</v>
      </c>
      <c r="G10" s="28"/>
      <c r="H10" s="12"/>
      <c r="I10" s="3"/>
      <c r="K10" s="3"/>
    </row>
    <row r="11" spans="1:18" ht="13.5" customHeight="1">
      <c r="A11" s="169" t="s">
        <v>208</v>
      </c>
      <c r="B11" s="169"/>
      <c r="C11" s="147">
        <v>21398190</v>
      </c>
      <c r="D11" s="169" t="s">
        <v>208</v>
      </c>
      <c r="E11" s="169"/>
      <c r="F11" s="147">
        <v>12743410</v>
      </c>
      <c r="G11" s="28"/>
      <c r="H11" s="12"/>
      <c r="I11" s="3"/>
      <c r="K11" s="3"/>
    </row>
    <row r="12" spans="1:18" ht="13.5" customHeight="1">
      <c r="A12" s="148"/>
      <c r="B12" s="148"/>
      <c r="C12" s="136"/>
      <c r="D12" s="148"/>
      <c r="E12" s="148"/>
      <c r="F12" s="136"/>
      <c r="G12" s="28"/>
      <c r="H12" s="12"/>
      <c r="I12" s="3"/>
      <c r="K12" s="3"/>
    </row>
    <row r="13" spans="1:18" ht="15.75" customHeight="1">
      <c r="A13" s="11" t="s">
        <v>0</v>
      </c>
      <c r="F13" s="68"/>
      <c r="G13" s="46"/>
      <c r="M13" s="10"/>
    </row>
    <row r="14" spans="1:18" ht="15" customHeight="1">
      <c r="A14" s="13" t="s">
        <v>1</v>
      </c>
      <c r="B14" s="69" t="s">
        <v>62</v>
      </c>
      <c r="C14" s="69" t="s">
        <v>2</v>
      </c>
      <c r="D14" s="34" t="s">
        <v>63</v>
      </c>
      <c r="E14" s="13" t="s">
        <v>3</v>
      </c>
      <c r="F14" s="5"/>
      <c r="G14" s="25"/>
      <c r="H14" s="10"/>
      <c r="I14" s="15"/>
      <c r="J14" s="15"/>
      <c r="K14" s="9"/>
      <c r="L14" s="5"/>
      <c r="M14" s="6"/>
      <c r="N14" s="137"/>
      <c r="O14" s="8"/>
    </row>
    <row r="15" spans="1:18" ht="15.75" customHeight="1">
      <c r="A15" s="16" t="s">
        <v>4</v>
      </c>
      <c r="B15" s="17">
        <f>SUMIF(F38:F50,"RED",M38:M50)</f>
        <v>8485700</v>
      </c>
      <c r="C15" s="17">
        <f>L59*C35</f>
        <v>0</v>
      </c>
      <c r="D15" s="17">
        <f>L66*D35</f>
        <v>0</v>
      </c>
      <c r="E15" s="17">
        <f>SUM(B15:D15)</f>
        <v>8485700</v>
      </c>
      <c r="F15" s="5"/>
      <c r="G15" s="25"/>
      <c r="H15" s="10"/>
      <c r="I15" s="15"/>
      <c r="J15" s="15"/>
      <c r="L15" s="5"/>
      <c r="M15" s="6"/>
      <c r="N15" s="137"/>
      <c r="O15" s="8"/>
    </row>
    <row r="16" spans="1:18" s="5" customFormat="1" ht="15.75" customHeight="1">
      <c r="A16" s="16" t="s">
        <v>5</v>
      </c>
      <c r="B16" s="17">
        <f>SUMIF(F38:F50,"BLUE",M38:M50)</f>
        <v>1326780</v>
      </c>
      <c r="C16" s="186"/>
      <c r="D16" s="186"/>
      <c r="E16" s="17">
        <f>SUM(B16:C16)</f>
        <v>1326780</v>
      </c>
      <c r="G16" s="25"/>
      <c r="H16" s="10"/>
      <c r="I16" s="15"/>
      <c r="J16" s="15"/>
      <c r="K16" s="6"/>
      <c r="M16" s="6"/>
      <c r="N16" s="18"/>
    </row>
    <row r="17" spans="1:15" s="5" customFormat="1" ht="15.75" customHeight="1">
      <c r="A17" s="16" t="s">
        <v>6</v>
      </c>
      <c r="B17" s="17">
        <f>SUMIF(F38:F50,"OEM",M38:M50)</f>
        <v>0</v>
      </c>
      <c r="C17" s="187"/>
      <c r="D17" s="187"/>
      <c r="E17" s="17">
        <f>SUM(B17:C17)</f>
        <v>0</v>
      </c>
      <c r="G17" s="25"/>
      <c r="H17" s="10"/>
      <c r="I17" s="15"/>
      <c r="J17" s="15"/>
      <c r="K17" s="6"/>
      <c r="M17" s="6"/>
      <c r="N17" s="18"/>
    </row>
    <row r="18" spans="1:15" s="5" customFormat="1" ht="15.75" customHeight="1">
      <c r="A18" s="16" t="s">
        <v>7</v>
      </c>
      <c r="B18" s="17">
        <f>SUMIF(F38:F50,"NO LOGO",M38:M50)</f>
        <v>65000</v>
      </c>
      <c r="C18" s="187"/>
      <c r="D18" s="187"/>
      <c r="E18" s="17">
        <f>SUM(B18:C18)</f>
        <v>65000</v>
      </c>
      <c r="G18" s="25"/>
      <c r="H18" s="10"/>
      <c r="I18" s="15"/>
      <c r="J18" s="15"/>
      <c r="K18" s="6"/>
      <c r="M18" s="6"/>
      <c r="N18" s="18"/>
    </row>
    <row r="19" spans="1:15" s="5" customFormat="1" ht="15.75" customHeight="1">
      <c r="A19" s="13" t="s">
        <v>8</v>
      </c>
      <c r="B19" s="19">
        <f>SUM(B15:B18)</f>
        <v>9877480</v>
      </c>
      <c r="C19" s="19">
        <f>C15</f>
        <v>0</v>
      </c>
      <c r="D19" s="19">
        <f>D15</f>
        <v>0</v>
      </c>
      <c r="E19" s="19">
        <f>SUM(E15:E18)</f>
        <v>9877480</v>
      </c>
      <c r="G19" s="25"/>
      <c r="H19" s="10"/>
      <c r="I19" s="15"/>
      <c r="J19" s="15"/>
      <c r="K19" s="6"/>
      <c r="M19" s="6"/>
      <c r="N19" s="18"/>
    </row>
    <row r="20" spans="1:15" s="5" customFormat="1" ht="15.75" customHeight="1">
      <c r="A20" s="20"/>
      <c r="B20" s="22"/>
      <c r="C20" s="22"/>
      <c r="D20" s="22"/>
      <c r="F20" s="14"/>
      <c r="G20" s="10"/>
      <c r="H20" s="10"/>
      <c r="I20" s="15"/>
      <c r="J20" s="6"/>
      <c r="L20" s="6"/>
      <c r="M20" s="18"/>
    </row>
    <row r="21" spans="1:15" s="5" customFormat="1" ht="15.75" customHeight="1">
      <c r="A21" s="11" t="s">
        <v>9</v>
      </c>
      <c r="B21" s="12"/>
      <c r="C21" s="8"/>
      <c r="D21" s="8"/>
      <c r="F21" s="14"/>
      <c r="G21" s="10"/>
      <c r="H21" s="10"/>
      <c r="I21" s="4"/>
      <c r="J21" s="6"/>
      <c r="L21" s="6"/>
      <c r="M21" s="18"/>
    </row>
    <row r="22" spans="1:15" s="5" customFormat="1" ht="15.75" customHeight="1">
      <c r="A22" s="13" t="s">
        <v>1</v>
      </c>
      <c r="B22" s="69" t="s">
        <v>64</v>
      </c>
      <c r="C22" s="69" t="s">
        <v>2</v>
      </c>
      <c r="D22" s="69" t="s">
        <v>3</v>
      </c>
      <c r="F22" s="14"/>
      <c r="G22" s="10"/>
      <c r="H22" s="10"/>
      <c r="I22" s="15"/>
      <c r="J22" s="15"/>
      <c r="K22" s="24"/>
      <c r="L22" s="6"/>
      <c r="M22" s="18"/>
    </row>
    <row r="23" spans="1:15" s="5" customFormat="1" ht="15.75" customHeight="1">
      <c r="A23" s="16" t="s">
        <v>4</v>
      </c>
      <c r="B23" s="17">
        <f>SUMIFS(K71:K137,O71:O137,"&lt;&gt;"&amp;"CONVUM",O71:O137,"&lt;&gt;"&amp;"MYOTOKU CHINA",F71:F137,"RED")</f>
        <v>0</v>
      </c>
      <c r="C23" s="17">
        <f>SUMIFS(K71:K137,O71:O137,"CONVUM",F71:F137,"RED")</f>
        <v>0</v>
      </c>
      <c r="D23" s="17">
        <f>SUM(B23:C23)</f>
        <v>0</v>
      </c>
      <c r="F23" s="14"/>
      <c r="G23" s="10"/>
      <c r="I23" s="15"/>
      <c r="J23" s="6"/>
      <c r="L23" s="6"/>
      <c r="M23" s="18"/>
    </row>
    <row r="24" spans="1:15" s="5" customFormat="1" ht="15.75" customHeight="1">
      <c r="A24" s="16" t="s">
        <v>5</v>
      </c>
      <c r="B24" s="17">
        <f>SUMIFS(K71:K137,O71:O137,"&lt;&gt;"&amp;"CONVUM",O71:O137,"&lt;&gt;"&amp;"MYOTOKU CHINA",F71:F137,"BLUE")</f>
        <v>3734000</v>
      </c>
      <c r="C24" s="186"/>
      <c r="D24" s="17">
        <f>SUM(B24:C24)</f>
        <v>3734000</v>
      </c>
      <c r="F24" s="14"/>
      <c r="G24" s="10"/>
      <c r="H24" s="10"/>
      <c r="I24" s="15"/>
      <c r="J24" s="6"/>
      <c r="L24" s="6"/>
      <c r="M24" s="18"/>
    </row>
    <row r="25" spans="1:15" s="5" customFormat="1" ht="15.75" customHeight="1">
      <c r="A25" s="16" t="s">
        <v>6</v>
      </c>
      <c r="B25" s="17">
        <f>SUMIFS(K71:K137,O71:O137,"&lt;&gt;"&amp;"CONVUM",O71:O137,"&lt;&gt;"&amp;"MYOTOKU CHINA",F71:F137,"OEM")</f>
        <v>0</v>
      </c>
      <c r="C25" s="187"/>
      <c r="D25" s="17">
        <f>SUM(B25:C25)</f>
        <v>0</v>
      </c>
      <c r="F25" s="14"/>
      <c r="G25" s="10"/>
      <c r="H25" s="10"/>
      <c r="I25" s="15"/>
      <c r="J25" s="6"/>
      <c r="L25" s="6"/>
      <c r="M25" s="18"/>
    </row>
    <row r="26" spans="1:15" s="5" customFormat="1" ht="15.75" customHeight="1">
      <c r="A26" s="16" t="s">
        <v>7</v>
      </c>
      <c r="B26" s="17">
        <f>SUMIFS(K71:K137,O71:O137,"&lt;&gt;"&amp;"CONVUM",O71:O137,"&lt;&gt;"&amp;"MYOTOKU CHINA",F71:F137,"NO LOGO")</f>
        <v>0</v>
      </c>
      <c r="C26" s="188"/>
      <c r="D26" s="17">
        <f>SUM(B26:C26)</f>
        <v>0</v>
      </c>
      <c r="F26" s="14"/>
      <c r="G26" s="10"/>
      <c r="H26" s="10"/>
      <c r="I26" s="15"/>
      <c r="J26" s="6"/>
      <c r="L26" s="6"/>
      <c r="M26" s="18"/>
    </row>
    <row r="27" spans="1:15" s="5" customFormat="1" ht="15.75" customHeight="1">
      <c r="A27" s="13" t="s">
        <v>8</v>
      </c>
      <c r="B27" s="19">
        <f>SUM(B23:B26)</f>
        <v>3734000</v>
      </c>
      <c r="C27" s="19">
        <f>C23</f>
        <v>0</v>
      </c>
      <c r="D27" s="19">
        <f>SUM(D23:D26)</f>
        <v>3734000</v>
      </c>
      <c r="F27" s="14"/>
      <c r="G27" s="10"/>
      <c r="H27" s="10"/>
      <c r="I27" s="15"/>
      <c r="J27" s="6"/>
      <c r="L27" s="6"/>
      <c r="M27" s="18"/>
    </row>
    <row r="28" spans="1:15" s="5" customFormat="1" ht="15.75" customHeight="1">
      <c r="A28" s="20"/>
      <c r="B28" s="21"/>
      <c r="C28" s="21"/>
      <c r="D28" s="21"/>
      <c r="F28" s="14"/>
      <c r="G28" s="10"/>
      <c r="I28" s="15"/>
      <c r="J28" s="6"/>
      <c r="L28" s="6"/>
      <c r="M28" s="18"/>
    </row>
    <row r="29" spans="1:15" s="5" customFormat="1" ht="15.75" customHeight="1">
      <c r="A29" s="11" t="s">
        <v>10</v>
      </c>
      <c r="B29" s="23"/>
      <c r="C29" s="45"/>
      <c r="D29" s="23"/>
      <c r="F29" s="14"/>
      <c r="G29" s="10"/>
      <c r="H29" s="10"/>
      <c r="I29" s="15"/>
      <c r="J29" s="6"/>
      <c r="L29" s="6"/>
      <c r="M29" s="18"/>
    </row>
    <row r="30" spans="1:15" s="5" customFormat="1" ht="15.75" customHeight="1">
      <c r="A30" s="13" t="s">
        <v>1</v>
      </c>
      <c r="B30" s="13" t="s">
        <v>48</v>
      </c>
      <c r="C30" s="13" t="s">
        <v>2</v>
      </c>
      <c r="D30" s="34" t="s">
        <v>63</v>
      </c>
      <c r="E30" s="13" t="s">
        <v>3</v>
      </c>
      <c r="G30" s="25"/>
      <c r="H30" s="10"/>
      <c r="I30" s="15"/>
      <c r="J30" s="15"/>
      <c r="K30" s="6"/>
      <c r="M30" s="6"/>
      <c r="N30" s="18"/>
    </row>
    <row r="31" spans="1:15" ht="15.75" customHeight="1">
      <c r="A31" s="16" t="s">
        <v>126</v>
      </c>
      <c r="B31" s="17" ph="1">
        <v>88153240</v>
      </c>
      <c r="C31" s="17">
        <f>3868500*C35</f>
        <v>36259063.649999999</v>
      </c>
      <c r="D31" s="17">
        <f>0*D35</f>
        <v>0</v>
      </c>
      <c r="E31" s="17">
        <f>SUM(B31:D31)</f>
        <v>124412303.65000001</v>
      </c>
      <c r="F31" s="5"/>
      <c r="G31" s="133"/>
      <c r="H31" s="5"/>
      <c r="I31" s="6"/>
      <c r="J31" s="6"/>
      <c r="K31" s="6"/>
      <c r="L31" s="5"/>
      <c r="M31" s="6"/>
      <c r="N31" s="137"/>
      <c r="O31" s="8"/>
    </row>
    <row r="32" spans="1:15" ht="15.75" customHeight="1">
      <c r="A32" s="16" t="s">
        <v>230</v>
      </c>
      <c r="B32" s="17" ph="1">
        <v>0</v>
      </c>
      <c r="C32" s="17">
        <f>3760000*C35</f>
        <v>35242104</v>
      </c>
      <c r="D32" s="17">
        <f>0*D35</f>
        <v>0</v>
      </c>
      <c r="E32" s="17">
        <f t="shared" ref="E32:E33" si="0">SUM(B32:D32)</f>
        <v>35242104</v>
      </c>
      <c r="F32" s="5"/>
      <c r="G32" s="133"/>
      <c r="H32" s="5"/>
      <c r="I32" s="6"/>
      <c r="J32" s="6"/>
      <c r="K32" s="6"/>
      <c r="L32" s="5"/>
      <c r="M32" s="6"/>
      <c r="N32" s="137"/>
      <c r="O32" s="8"/>
    </row>
    <row r="33" spans="1:15" ht="15.75" customHeight="1">
      <c r="A33" s="16" t="s">
        <v>92</v>
      </c>
      <c r="B33" s="17">
        <v>197667980</v>
      </c>
      <c r="C33" s="17">
        <f>6926500*C35</f>
        <v>64921391.849999994</v>
      </c>
      <c r="D33" s="17">
        <v>0</v>
      </c>
      <c r="E33" s="17">
        <f t="shared" si="0"/>
        <v>262589371.84999999</v>
      </c>
      <c r="F33" s="10"/>
      <c r="G33" s="25"/>
      <c r="H33" s="5"/>
      <c r="I33" s="6"/>
      <c r="J33" s="6"/>
      <c r="K33" s="6"/>
      <c r="L33" s="5"/>
      <c r="M33" s="6"/>
      <c r="N33" s="137"/>
      <c r="O33" s="8"/>
    </row>
    <row r="34" spans="1:15" ht="15.75" customHeight="1">
      <c r="A34" s="13" t="s">
        <v>8</v>
      </c>
      <c r="B34" s="19">
        <f>SUM(B31:B33)</f>
        <v>285821220</v>
      </c>
      <c r="C34" s="19">
        <f>SUM(C31:C33)</f>
        <v>136422559.5</v>
      </c>
      <c r="D34" s="19">
        <f>SUM(D31:D33)</f>
        <v>0</v>
      </c>
      <c r="E34" s="19">
        <f>SUM(E31:E33)</f>
        <v>422243779.5</v>
      </c>
      <c r="F34" s="5"/>
      <c r="G34" s="133"/>
      <c r="H34" s="5"/>
      <c r="I34" s="6"/>
      <c r="K34" s="26" t="s">
        <v>11</v>
      </c>
      <c r="L34" s="26" t="s">
        <v>67</v>
      </c>
      <c r="M34" s="6"/>
      <c r="N34" s="137"/>
      <c r="O34" s="8"/>
    </row>
    <row r="35" spans="1:15" ht="15.75" customHeight="1">
      <c r="A35" s="47"/>
      <c r="B35" s="46"/>
      <c r="C35" s="93">
        <v>9.3728999999999996</v>
      </c>
      <c r="D35" s="48">
        <v>1464.8</v>
      </c>
      <c r="G35" s="46"/>
      <c r="J35" s="6"/>
      <c r="M35" s="5" t="s">
        <v>68</v>
      </c>
    </row>
    <row r="36" spans="1:15" ht="15.75" customHeight="1">
      <c r="A36" s="189" t="s">
        <v>12</v>
      </c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90"/>
      <c r="N36" s="189"/>
    </row>
    <row r="37" spans="1:15" s="12" customFormat="1" ht="25.9" customHeight="1">
      <c r="A37" s="49" t="s">
        <v>13</v>
      </c>
      <c r="B37" s="49" t="s">
        <v>14</v>
      </c>
      <c r="C37" s="49" t="s">
        <v>15</v>
      </c>
      <c r="D37" s="49" t="s">
        <v>16</v>
      </c>
      <c r="E37" s="49" t="s">
        <v>17</v>
      </c>
      <c r="F37" s="49" t="s">
        <v>18</v>
      </c>
      <c r="G37" s="49" t="s">
        <v>19</v>
      </c>
      <c r="H37" s="27" t="s">
        <v>20</v>
      </c>
      <c r="I37" s="49" t="s">
        <v>65</v>
      </c>
      <c r="J37" s="78" t="s">
        <v>21</v>
      </c>
      <c r="K37" s="144" t="s">
        <v>66</v>
      </c>
      <c r="L37" s="79" t="s">
        <v>22</v>
      </c>
      <c r="M37" s="50" t="s">
        <v>23</v>
      </c>
      <c r="N37" s="50" t="s">
        <v>24</v>
      </c>
      <c r="O37" s="28"/>
    </row>
    <row r="38" spans="1:15" s="12" customFormat="1" ht="16.5" customHeight="1">
      <c r="A38" s="74" t="s">
        <v>128</v>
      </c>
      <c r="B38" s="155" t="s">
        <v>233</v>
      </c>
      <c r="C38" s="71" t="s">
        <v>83</v>
      </c>
      <c r="D38" s="71" t="s">
        <v>113</v>
      </c>
      <c r="E38" s="71" t="s">
        <v>46</v>
      </c>
      <c r="F38" s="74" t="s">
        <v>47</v>
      </c>
      <c r="G38" s="74" t="s">
        <v>234</v>
      </c>
      <c r="H38" s="74" t="s">
        <v>235</v>
      </c>
      <c r="I38" s="71"/>
      <c r="J38" s="77">
        <v>20</v>
      </c>
      <c r="K38" s="80" t="s">
        <v>11</v>
      </c>
      <c r="L38" s="76">
        <v>3940</v>
      </c>
      <c r="M38" s="72">
        <v>78800</v>
      </c>
      <c r="N38" s="81">
        <f>SUM(M38)</f>
        <v>78800</v>
      </c>
      <c r="O38" s="28"/>
    </row>
    <row r="39" spans="1:15" s="12" customFormat="1" ht="16.5" customHeight="1">
      <c r="A39" s="162" t="s">
        <v>236</v>
      </c>
      <c r="B39" s="71" t="s">
        <v>237</v>
      </c>
      <c r="C39" s="71" t="s">
        <v>83</v>
      </c>
      <c r="D39" s="71" t="s">
        <v>78</v>
      </c>
      <c r="E39" s="71" t="s">
        <v>72</v>
      </c>
      <c r="F39" s="74" t="s">
        <v>34</v>
      </c>
      <c r="G39" s="74" t="s">
        <v>238</v>
      </c>
      <c r="H39" s="74" t="s">
        <v>239</v>
      </c>
      <c r="I39" s="71"/>
      <c r="J39" s="77">
        <v>30</v>
      </c>
      <c r="K39" s="80" t="s">
        <v>67</v>
      </c>
      <c r="L39" s="76">
        <v>31350</v>
      </c>
      <c r="M39" s="72">
        <v>940500</v>
      </c>
      <c r="N39" s="159">
        <f>SUM(M39:M40)</f>
        <v>1767500</v>
      </c>
      <c r="O39" s="28"/>
    </row>
    <row r="40" spans="1:15" s="12" customFormat="1" ht="16.5" customHeight="1">
      <c r="A40" s="164"/>
      <c r="B40" s="71" t="s">
        <v>237</v>
      </c>
      <c r="C40" s="71" t="s">
        <v>83</v>
      </c>
      <c r="D40" s="71" t="s">
        <v>78</v>
      </c>
      <c r="E40" s="71" t="s">
        <v>72</v>
      </c>
      <c r="F40" s="74" t="s">
        <v>34</v>
      </c>
      <c r="G40" s="74" t="s">
        <v>240</v>
      </c>
      <c r="H40" s="74" t="s">
        <v>241</v>
      </c>
      <c r="I40" s="71"/>
      <c r="J40" s="77">
        <v>100</v>
      </c>
      <c r="K40" s="80" t="s">
        <v>67</v>
      </c>
      <c r="L40" s="76">
        <v>8270</v>
      </c>
      <c r="M40" s="72">
        <v>827000</v>
      </c>
      <c r="N40" s="166"/>
      <c r="O40" s="28"/>
    </row>
    <row r="41" spans="1:15" s="12" customFormat="1" ht="16.5" customHeight="1">
      <c r="A41" s="74" t="s">
        <v>77</v>
      </c>
      <c r="B41" s="71" t="s">
        <v>104</v>
      </c>
      <c r="C41" s="71" t="s">
        <v>105</v>
      </c>
      <c r="D41" s="71" t="s">
        <v>78</v>
      </c>
      <c r="E41" s="71" t="s">
        <v>72</v>
      </c>
      <c r="F41" s="74" t="s">
        <v>34</v>
      </c>
      <c r="G41" s="74" t="s">
        <v>242</v>
      </c>
      <c r="H41" s="74" t="s">
        <v>243</v>
      </c>
      <c r="I41" s="71"/>
      <c r="J41" s="77">
        <v>1</v>
      </c>
      <c r="K41" s="80" t="s">
        <v>11</v>
      </c>
      <c r="L41" s="76">
        <v>337900</v>
      </c>
      <c r="M41" s="72">
        <v>337900</v>
      </c>
      <c r="N41" s="81">
        <f>SUM(M41)</f>
        <v>337900</v>
      </c>
      <c r="O41" s="28"/>
    </row>
    <row r="42" spans="1:15" s="12" customFormat="1" ht="16.5" customHeight="1">
      <c r="A42" s="74" t="s">
        <v>136</v>
      </c>
      <c r="B42" s="71" t="s">
        <v>244</v>
      </c>
      <c r="C42" s="71" t="s">
        <v>45</v>
      </c>
      <c r="D42" s="71" t="s">
        <v>61</v>
      </c>
      <c r="E42" s="71" t="s">
        <v>72</v>
      </c>
      <c r="F42" s="74" t="s">
        <v>34</v>
      </c>
      <c r="G42" s="74" t="s">
        <v>245</v>
      </c>
      <c r="H42" s="74" t="s">
        <v>246</v>
      </c>
      <c r="I42" s="71"/>
      <c r="J42" s="77">
        <v>20</v>
      </c>
      <c r="K42" s="80" t="s">
        <v>11</v>
      </c>
      <c r="L42" s="76">
        <v>3270</v>
      </c>
      <c r="M42" s="72">
        <v>65400</v>
      </c>
      <c r="N42" s="81">
        <f>SUM(M42)</f>
        <v>65400</v>
      </c>
      <c r="O42" s="28"/>
    </row>
    <row r="43" spans="1:15" s="12" customFormat="1" ht="16.5" customHeight="1">
      <c r="A43" s="162" t="s">
        <v>82</v>
      </c>
      <c r="B43" s="71" t="s">
        <v>247</v>
      </c>
      <c r="C43" s="71" t="s">
        <v>248</v>
      </c>
      <c r="D43" s="71" t="s">
        <v>61</v>
      </c>
      <c r="E43" s="71" t="s">
        <v>72</v>
      </c>
      <c r="F43" s="74" t="s">
        <v>34</v>
      </c>
      <c r="G43" s="74" t="s">
        <v>249</v>
      </c>
      <c r="H43" s="74" t="s">
        <v>250</v>
      </c>
      <c r="I43" s="71"/>
      <c r="J43" s="77">
        <v>6</v>
      </c>
      <c r="K43" s="80" t="s">
        <v>11</v>
      </c>
      <c r="L43" s="76">
        <v>271500</v>
      </c>
      <c r="M43" s="72">
        <v>1629000</v>
      </c>
      <c r="N43" s="159">
        <f>SUM(M43:M44)</f>
        <v>1639680</v>
      </c>
      <c r="O43" s="28"/>
    </row>
    <row r="44" spans="1:15" s="12" customFormat="1" ht="16.5" customHeight="1">
      <c r="A44" s="164"/>
      <c r="B44" s="71" t="s">
        <v>251</v>
      </c>
      <c r="C44" s="71" t="s">
        <v>83</v>
      </c>
      <c r="D44" s="71" t="s">
        <v>113</v>
      </c>
      <c r="E44" s="71" t="s">
        <v>46</v>
      </c>
      <c r="F44" s="74" t="s">
        <v>47</v>
      </c>
      <c r="G44" s="74" t="s">
        <v>252</v>
      </c>
      <c r="H44" s="74" t="s">
        <v>253</v>
      </c>
      <c r="I44" s="71"/>
      <c r="J44" s="77">
        <v>6</v>
      </c>
      <c r="K44" s="80" t="s">
        <v>11</v>
      </c>
      <c r="L44" s="76">
        <v>1780</v>
      </c>
      <c r="M44" s="72">
        <v>10680</v>
      </c>
      <c r="N44" s="166"/>
      <c r="O44" s="28"/>
    </row>
    <row r="45" spans="1:15" s="12" customFormat="1" ht="16.5" customHeight="1">
      <c r="A45" s="162" t="s">
        <v>71</v>
      </c>
      <c r="B45" s="155" t="s">
        <v>254</v>
      </c>
      <c r="C45" s="71" t="s">
        <v>45</v>
      </c>
      <c r="D45" s="71" t="s">
        <v>61</v>
      </c>
      <c r="E45" s="71" t="s">
        <v>72</v>
      </c>
      <c r="F45" s="74" t="s">
        <v>34</v>
      </c>
      <c r="G45" s="74" t="s">
        <v>255</v>
      </c>
      <c r="H45" s="74" t="s">
        <v>256</v>
      </c>
      <c r="I45" s="71"/>
      <c r="J45" s="77">
        <v>100</v>
      </c>
      <c r="K45" s="80" t="s">
        <v>67</v>
      </c>
      <c r="L45" s="76">
        <v>46500</v>
      </c>
      <c r="M45" s="72">
        <v>4650000</v>
      </c>
      <c r="N45" s="159">
        <f>SUM(M45:M46)</f>
        <v>4715000</v>
      </c>
      <c r="O45" s="28"/>
    </row>
    <row r="46" spans="1:15" s="12" customFormat="1" ht="16.5" customHeight="1">
      <c r="A46" s="164"/>
      <c r="B46" s="156" t="s">
        <v>254</v>
      </c>
      <c r="C46" s="71" t="s">
        <v>45</v>
      </c>
      <c r="D46" s="71" t="s">
        <v>61</v>
      </c>
      <c r="E46" s="71" t="s">
        <v>72</v>
      </c>
      <c r="F46" s="74" t="s">
        <v>273</v>
      </c>
      <c r="G46" s="74" t="s">
        <v>257</v>
      </c>
      <c r="H46" s="74" t="s">
        <v>258</v>
      </c>
      <c r="I46" s="71"/>
      <c r="J46" s="77">
        <v>50</v>
      </c>
      <c r="K46" s="80" t="s">
        <v>67</v>
      </c>
      <c r="L46" s="76">
        <v>1300</v>
      </c>
      <c r="M46" s="72">
        <v>65000</v>
      </c>
      <c r="N46" s="166"/>
      <c r="O46" s="28"/>
    </row>
    <row r="47" spans="1:15" s="12" customFormat="1" ht="16.5" customHeight="1">
      <c r="A47" s="74" t="s">
        <v>133</v>
      </c>
      <c r="B47" s="71" t="s">
        <v>134</v>
      </c>
      <c r="C47" s="71" t="s">
        <v>135</v>
      </c>
      <c r="D47" s="71" t="s">
        <v>80</v>
      </c>
      <c r="E47" s="71" t="s">
        <v>79</v>
      </c>
      <c r="F47" s="74" t="s">
        <v>47</v>
      </c>
      <c r="G47" s="74" t="s">
        <v>259</v>
      </c>
      <c r="H47" s="74" t="s">
        <v>260</v>
      </c>
      <c r="I47" s="71"/>
      <c r="J47" s="77">
        <v>140</v>
      </c>
      <c r="K47" s="80" t="s">
        <v>11</v>
      </c>
      <c r="L47" s="76">
        <v>8420</v>
      </c>
      <c r="M47" s="72">
        <v>1178800</v>
      </c>
      <c r="N47" s="81">
        <f>SUM(M47)</f>
        <v>1178800</v>
      </c>
      <c r="O47" s="28"/>
    </row>
    <row r="48" spans="1:15" s="12" customFormat="1" ht="16.5" customHeight="1">
      <c r="A48" s="162" t="s">
        <v>74</v>
      </c>
      <c r="B48" s="71" t="s">
        <v>75</v>
      </c>
      <c r="C48" s="71" t="s">
        <v>76</v>
      </c>
      <c r="D48" s="71" t="s">
        <v>61</v>
      </c>
      <c r="E48" s="71" t="s">
        <v>46</v>
      </c>
      <c r="F48" s="74" t="s">
        <v>47</v>
      </c>
      <c r="G48" s="74" t="s">
        <v>197</v>
      </c>
      <c r="H48" s="74" t="s">
        <v>198</v>
      </c>
      <c r="I48" s="71"/>
      <c r="J48" s="77">
        <v>10</v>
      </c>
      <c r="K48" s="80" t="s">
        <v>11</v>
      </c>
      <c r="L48" s="76">
        <v>5850</v>
      </c>
      <c r="M48" s="72">
        <v>58500</v>
      </c>
      <c r="N48" s="159">
        <f>SUM(M48:M50)</f>
        <v>94400</v>
      </c>
      <c r="O48" s="28"/>
    </row>
    <row r="49" spans="1:15" s="12" customFormat="1" ht="16.5" customHeight="1">
      <c r="A49" s="163"/>
      <c r="B49" s="71" t="s">
        <v>261</v>
      </c>
      <c r="C49" s="71" t="s">
        <v>107</v>
      </c>
      <c r="D49" s="71" t="s">
        <v>61</v>
      </c>
      <c r="E49" s="71" t="s">
        <v>46</v>
      </c>
      <c r="F49" s="74" t="s">
        <v>34</v>
      </c>
      <c r="G49" s="74" t="s">
        <v>262</v>
      </c>
      <c r="H49" s="157" t="s">
        <v>263</v>
      </c>
      <c r="I49" s="71"/>
      <c r="J49" s="77">
        <v>1</v>
      </c>
      <c r="K49" s="80" t="s">
        <v>67</v>
      </c>
      <c r="L49" s="76">
        <v>34900</v>
      </c>
      <c r="M49" s="72">
        <v>34900</v>
      </c>
      <c r="N49" s="160"/>
      <c r="O49" s="28"/>
    </row>
    <row r="50" spans="1:15" s="12" customFormat="1" ht="16.5" customHeight="1">
      <c r="A50" s="165"/>
      <c r="B50" s="71" t="s">
        <v>261</v>
      </c>
      <c r="C50" s="71" t="s">
        <v>107</v>
      </c>
      <c r="D50" s="71" t="s">
        <v>61</v>
      </c>
      <c r="E50" s="71" t="s">
        <v>46</v>
      </c>
      <c r="F50" s="74" t="s">
        <v>34</v>
      </c>
      <c r="G50" s="74" t="s">
        <v>264</v>
      </c>
      <c r="H50" s="74" t="s">
        <v>265</v>
      </c>
      <c r="I50" s="71"/>
      <c r="J50" s="77">
        <v>1</v>
      </c>
      <c r="K50" s="80" t="s">
        <v>67</v>
      </c>
      <c r="L50" s="76">
        <v>1000</v>
      </c>
      <c r="M50" s="72">
        <v>1000</v>
      </c>
      <c r="N50" s="161"/>
      <c r="O50" s="28"/>
    </row>
    <row r="51" spans="1:15" s="12" customFormat="1" ht="15" customHeight="1">
      <c r="A51" s="83" t="str">
        <f ca="1">MID(CELL("filename",$A$1),FIND("]",CELL("filename",$A$1))+1,100)&amp;" TOTAL"</f>
        <v>2025.12.2(TUE) TOTAL</v>
      </c>
      <c r="B51" s="84"/>
      <c r="C51" s="84"/>
      <c r="D51" s="84"/>
      <c r="E51" s="84"/>
      <c r="F51" s="84"/>
      <c r="G51" s="92"/>
      <c r="H51" s="92"/>
      <c r="I51" s="84"/>
      <c r="J51" s="84"/>
      <c r="K51" s="149"/>
      <c r="L51" s="85"/>
      <c r="M51" s="19">
        <f>SUM(M38:M50)</f>
        <v>9877480</v>
      </c>
      <c r="N51" s="44">
        <f>SUM(N38:N50)</f>
        <v>9877480</v>
      </c>
      <c r="O51" s="28"/>
    </row>
    <row r="52" spans="1:15" ht="15.75" customHeight="1">
      <c r="A52" s="51"/>
      <c r="B52" s="52"/>
      <c r="C52" s="52"/>
      <c r="D52" s="52"/>
      <c r="E52" s="52"/>
      <c r="F52" s="52"/>
      <c r="G52" s="52"/>
      <c r="H52" s="29"/>
      <c r="I52" s="52"/>
      <c r="J52" s="52"/>
      <c r="K52" s="52"/>
      <c r="L52" s="53"/>
      <c r="M52" s="54"/>
      <c r="N52" s="53"/>
    </row>
    <row r="53" spans="1:15" ht="20.25" customHeight="1">
      <c r="A53" s="31" t="s">
        <v>70</v>
      </c>
      <c r="B53" s="32"/>
      <c r="C53" s="55"/>
      <c r="D53" s="55"/>
      <c r="E53" s="55"/>
      <c r="F53" s="55"/>
      <c r="G53" s="55"/>
      <c r="H53" s="30"/>
      <c r="I53" s="55"/>
      <c r="J53" s="55"/>
      <c r="K53" s="10"/>
      <c r="L53" s="56"/>
      <c r="M53" s="10"/>
      <c r="N53" s="56"/>
    </row>
    <row r="54" spans="1:15" ht="16.5" hidden="1" customHeight="1">
      <c r="A54" s="31"/>
      <c r="B54" s="32"/>
      <c r="C54" s="55"/>
      <c r="D54" s="55"/>
      <c r="E54" s="55"/>
      <c r="F54" s="55"/>
      <c r="G54" s="55"/>
      <c r="H54" s="30"/>
      <c r="I54" s="55"/>
      <c r="J54" s="55"/>
      <c r="K54" s="10"/>
      <c r="L54" s="56"/>
      <c r="M54" s="10"/>
      <c r="N54" s="56"/>
    </row>
    <row r="55" spans="1:15" ht="16.5" hidden="1" customHeight="1">
      <c r="A55" s="33" t="s">
        <v>25</v>
      </c>
      <c r="B55" s="20"/>
      <c r="C55" s="20"/>
      <c r="D55" s="51"/>
      <c r="E55" s="20"/>
      <c r="F55" s="20"/>
      <c r="G55" s="20"/>
      <c r="H55" s="134"/>
      <c r="I55" s="43"/>
      <c r="J55" s="43"/>
      <c r="K55" s="43"/>
      <c r="L55" s="43"/>
      <c r="M55" s="22"/>
      <c r="N55" s="57"/>
    </row>
    <row r="56" spans="1:15" s="36" customFormat="1" ht="16.5" hidden="1" customHeight="1">
      <c r="A56" s="34" t="s">
        <v>13</v>
      </c>
      <c r="B56" s="34" t="s">
        <v>26</v>
      </c>
      <c r="C56" s="34" t="s">
        <v>27</v>
      </c>
      <c r="D56" s="34" t="s">
        <v>28</v>
      </c>
      <c r="E56" s="34" t="s">
        <v>17</v>
      </c>
      <c r="F56" s="34" t="s">
        <v>29</v>
      </c>
      <c r="G56" s="34" t="s">
        <v>19</v>
      </c>
      <c r="H56" s="34" t="s">
        <v>20</v>
      </c>
      <c r="I56" s="34" t="s">
        <v>21</v>
      </c>
      <c r="J56" s="34" t="s">
        <v>30</v>
      </c>
      <c r="K56" s="34" t="s">
        <v>31</v>
      </c>
      <c r="L56" s="35" t="s">
        <v>32</v>
      </c>
      <c r="M56" s="35" t="s">
        <v>33</v>
      </c>
      <c r="N56" s="133"/>
      <c r="O56" s="37"/>
    </row>
    <row r="57" spans="1:15" ht="16.5" hidden="1" customHeight="1">
      <c r="A57" s="181"/>
      <c r="B57" s="182"/>
      <c r="C57" s="113"/>
      <c r="D57" s="71"/>
      <c r="E57" s="71"/>
      <c r="F57" s="74"/>
      <c r="G57" s="74"/>
      <c r="H57" s="74"/>
      <c r="I57" s="75"/>
      <c r="J57" s="150"/>
      <c r="K57" s="150"/>
      <c r="L57" s="184"/>
      <c r="M57" s="38"/>
      <c r="N57" s="138"/>
    </row>
    <row r="58" spans="1:15" ht="16.5" hidden="1" customHeight="1">
      <c r="A58" s="165"/>
      <c r="B58" s="183"/>
      <c r="C58" s="113"/>
      <c r="D58" s="71"/>
      <c r="E58" s="71"/>
      <c r="F58" s="74"/>
      <c r="G58" s="74"/>
      <c r="H58" s="74"/>
      <c r="I58" s="72"/>
      <c r="J58" s="150"/>
      <c r="K58" s="150"/>
      <c r="L58" s="185"/>
      <c r="M58" s="38"/>
      <c r="N58" s="138"/>
    </row>
    <row r="59" spans="1:15" ht="16.5" hidden="1" customHeight="1">
      <c r="A59" s="170" t="str">
        <f ca="1">A51</f>
        <v>2025.12.2(TUE) TOTAL</v>
      </c>
      <c r="B59" s="171"/>
      <c r="C59" s="171"/>
      <c r="D59" s="171"/>
      <c r="E59" s="171"/>
      <c r="F59" s="171"/>
      <c r="G59" s="171"/>
      <c r="H59" s="171"/>
      <c r="I59" s="171"/>
      <c r="J59" s="172"/>
      <c r="K59" s="58">
        <f>SUM(K57:K58)</f>
        <v>0</v>
      </c>
      <c r="L59" s="143">
        <f>SUM(L57)</f>
        <v>0</v>
      </c>
      <c r="M59" s="13"/>
      <c r="N59" s="138"/>
    </row>
    <row r="60" spans="1:15" ht="16.5" hidden="1" customHeight="1">
      <c r="A60" s="51"/>
      <c r="B60" s="20"/>
      <c r="C60" s="20"/>
      <c r="D60" s="51"/>
      <c r="E60" s="20"/>
      <c r="F60" s="20"/>
      <c r="G60" s="20"/>
      <c r="H60" s="134"/>
      <c r="I60" s="43"/>
      <c r="J60" s="43"/>
      <c r="K60" s="43"/>
      <c r="L60" s="43"/>
      <c r="M60" s="22"/>
      <c r="N60" s="57"/>
    </row>
    <row r="61" spans="1:15" s="36" customFormat="1" ht="16.5" hidden="1" customHeight="1">
      <c r="A61" s="34" t="s">
        <v>13</v>
      </c>
      <c r="B61" s="34" t="s">
        <v>26</v>
      </c>
      <c r="C61" s="34" t="s">
        <v>27</v>
      </c>
      <c r="D61" s="34" t="s">
        <v>28</v>
      </c>
      <c r="E61" s="34" t="s">
        <v>17</v>
      </c>
      <c r="F61" s="34" t="s">
        <v>35</v>
      </c>
      <c r="G61" s="34" t="s">
        <v>19</v>
      </c>
      <c r="H61" s="34" t="s">
        <v>20</v>
      </c>
      <c r="I61" s="35" t="s">
        <v>21</v>
      </c>
      <c r="J61" s="35" t="s">
        <v>36</v>
      </c>
      <c r="K61" s="40" t="s">
        <v>37</v>
      </c>
      <c r="L61" s="41" t="s">
        <v>38</v>
      </c>
      <c r="M61" s="40" t="s">
        <v>39</v>
      </c>
      <c r="N61" s="133"/>
      <c r="O61" s="37"/>
    </row>
    <row r="62" spans="1:15" s="36" customFormat="1" ht="16.5" hidden="1" customHeight="1">
      <c r="A62" s="97"/>
      <c r="B62" s="105"/>
      <c r="C62" s="104"/>
      <c r="D62" s="39"/>
      <c r="E62" s="71"/>
      <c r="F62" s="74"/>
      <c r="G62" s="108"/>
      <c r="H62" s="108"/>
      <c r="I62" s="109"/>
      <c r="J62" s="110"/>
      <c r="K62" s="111"/>
      <c r="L62" s="173"/>
      <c r="M62" s="42"/>
      <c r="N62" s="133"/>
      <c r="O62" s="37"/>
    </row>
    <row r="63" spans="1:15" s="36" customFormat="1" ht="16.5" hidden="1" customHeight="1">
      <c r="A63" s="82"/>
      <c r="B63" s="106"/>
      <c r="C63" s="104"/>
      <c r="D63" s="39"/>
      <c r="E63" s="71"/>
      <c r="F63" s="74"/>
      <c r="G63" s="94"/>
      <c r="H63" s="95"/>
      <c r="I63" s="96"/>
      <c r="J63" s="96"/>
      <c r="K63" s="96"/>
      <c r="L63" s="174"/>
      <c r="M63" s="42"/>
      <c r="N63" s="133"/>
      <c r="O63" s="37"/>
    </row>
    <row r="64" spans="1:15" s="36" customFormat="1" ht="16.5" hidden="1" customHeight="1">
      <c r="A64" s="82"/>
      <c r="B64" s="106"/>
      <c r="C64" s="104"/>
      <c r="D64" s="39"/>
      <c r="E64" s="71"/>
      <c r="F64" s="74"/>
      <c r="G64" s="94"/>
      <c r="H64" s="95"/>
      <c r="I64" s="96"/>
      <c r="J64" s="96"/>
      <c r="K64" s="96"/>
      <c r="L64" s="174"/>
      <c r="M64" s="42"/>
      <c r="N64" s="133"/>
      <c r="O64" s="37"/>
    </row>
    <row r="65" spans="1:15" s="36" customFormat="1" ht="16.5" hidden="1" customHeight="1">
      <c r="A65" s="86"/>
      <c r="B65" s="107"/>
      <c r="C65" s="104"/>
      <c r="D65" s="39"/>
      <c r="E65" s="71"/>
      <c r="F65" s="74"/>
      <c r="G65" s="94"/>
      <c r="H65" s="95"/>
      <c r="I65" s="96"/>
      <c r="J65" s="96"/>
      <c r="K65" s="96"/>
      <c r="L65" s="175"/>
      <c r="M65" s="42"/>
      <c r="N65" s="133"/>
      <c r="O65" s="37"/>
    </row>
    <row r="66" spans="1:15" ht="16.5" hidden="1" customHeight="1">
      <c r="A66" s="176" t="str">
        <f ca="1">A51</f>
        <v>2025.12.2(TUE) TOTAL</v>
      </c>
      <c r="B66" s="177"/>
      <c r="C66" s="177"/>
      <c r="D66" s="177"/>
      <c r="E66" s="177"/>
      <c r="F66" s="177"/>
      <c r="G66" s="177"/>
      <c r="H66" s="177"/>
      <c r="I66" s="177"/>
      <c r="J66" s="178"/>
      <c r="K66" s="59">
        <f>SUM(K62:K65)</f>
        <v>0</v>
      </c>
      <c r="L66" s="59">
        <f>SUM(L62)</f>
        <v>0</v>
      </c>
      <c r="M66" s="60"/>
      <c r="N66" s="138"/>
    </row>
    <row r="67" spans="1:15" s="4" customFormat="1" ht="16.149999999999999" hidden="1" customHeight="1">
      <c r="A67" s="61"/>
      <c r="B67" s="62"/>
      <c r="C67" s="63"/>
      <c r="D67" s="63"/>
      <c r="E67" s="62"/>
      <c r="F67" s="62"/>
      <c r="G67" s="62"/>
      <c r="H67" s="134"/>
      <c r="I67" s="43"/>
      <c r="J67" s="43"/>
      <c r="K67" s="43"/>
      <c r="L67" s="43"/>
      <c r="M67" s="64"/>
      <c r="N67" s="57"/>
      <c r="O67" s="26"/>
    </row>
    <row r="68" spans="1:15" s="4" customFormat="1" ht="0.75" hidden="1" customHeight="1">
      <c r="A68" s="61"/>
      <c r="B68" s="62"/>
      <c r="C68" s="63"/>
      <c r="D68" s="63"/>
      <c r="E68" s="62"/>
      <c r="F68" s="62"/>
      <c r="G68" s="62"/>
      <c r="H68" s="134"/>
      <c r="I68" s="43"/>
      <c r="J68" s="43"/>
      <c r="K68" s="43"/>
      <c r="L68" s="43"/>
      <c r="M68" s="64"/>
      <c r="N68" s="57"/>
      <c r="O68" s="26"/>
    </row>
    <row r="69" spans="1:15" s="4" customFormat="1" ht="15.75" hidden="1" customHeight="1">
      <c r="A69" s="61"/>
      <c r="B69" s="62"/>
      <c r="C69" s="63"/>
      <c r="D69" s="63"/>
      <c r="E69" s="62"/>
      <c r="F69" s="62"/>
      <c r="G69" s="62"/>
      <c r="H69" s="134"/>
      <c r="I69" s="43"/>
      <c r="J69" s="43"/>
      <c r="K69" s="43"/>
      <c r="L69" s="43"/>
      <c r="M69" s="64"/>
      <c r="N69" s="57"/>
      <c r="O69" s="26"/>
    </row>
    <row r="70" spans="1:15" s="4" customFormat="1" ht="15.75" hidden="1" customHeight="1">
      <c r="A70" s="61"/>
      <c r="B70" s="62"/>
      <c r="C70" s="63"/>
      <c r="D70" s="63"/>
      <c r="E70" s="62"/>
      <c r="F70" s="62"/>
      <c r="G70" s="62"/>
      <c r="H70" s="134"/>
      <c r="I70" s="43"/>
      <c r="J70" s="43"/>
      <c r="K70" s="43"/>
      <c r="L70" s="43"/>
      <c r="M70" s="64"/>
      <c r="N70" s="57"/>
      <c r="O70" s="26"/>
    </row>
    <row r="71" spans="1:15" s="4" customFormat="1" ht="15" hidden="1" customHeight="1">
      <c r="A71" s="43" t="s">
        <v>69</v>
      </c>
      <c r="B71" s="65"/>
      <c r="C71" s="66"/>
      <c r="D71" s="66"/>
      <c r="E71" s="65"/>
      <c r="F71" s="66"/>
      <c r="G71" s="65"/>
      <c r="H71" s="135"/>
      <c r="I71" s="66"/>
      <c r="J71" s="66"/>
      <c r="K71" s="66"/>
      <c r="L71" s="66"/>
      <c r="M71" s="67"/>
      <c r="N71" s="139"/>
      <c r="O71" s="26"/>
    </row>
    <row r="72" spans="1:15" s="4" customFormat="1" ht="15" hidden="1" customHeight="1">
      <c r="A72" s="43"/>
      <c r="B72" s="65"/>
      <c r="C72" s="66"/>
      <c r="D72" s="66"/>
      <c r="E72" s="65"/>
      <c r="F72" s="66"/>
      <c r="G72" s="65"/>
      <c r="H72" s="135"/>
      <c r="I72" s="66"/>
      <c r="J72" s="66"/>
      <c r="K72" s="66"/>
      <c r="L72" s="66"/>
      <c r="M72" s="67"/>
      <c r="N72" s="139"/>
      <c r="O72" s="26"/>
    </row>
    <row r="73" spans="1:15" s="4" customFormat="1" ht="15" hidden="1" customHeight="1">
      <c r="A73" s="43"/>
      <c r="B73" s="65"/>
      <c r="C73" s="66"/>
      <c r="D73" s="66"/>
      <c r="E73" s="65"/>
      <c r="F73" s="66"/>
      <c r="G73" s="65"/>
      <c r="H73" s="135"/>
      <c r="I73" s="66"/>
      <c r="J73" s="66"/>
      <c r="K73" s="66"/>
      <c r="L73" s="66"/>
      <c r="M73" s="67"/>
      <c r="N73" s="139"/>
      <c r="O73" s="26"/>
    </row>
    <row r="74" spans="1:15" s="4" customFormat="1" ht="15" hidden="1" customHeight="1">
      <c r="A74" s="43"/>
      <c r="B74" s="65"/>
      <c r="C74" s="66"/>
      <c r="D74" s="66"/>
      <c r="E74" s="65"/>
      <c r="F74" s="66"/>
      <c r="G74" s="65"/>
      <c r="H74" s="135"/>
      <c r="I74" s="66"/>
      <c r="J74" s="66"/>
      <c r="K74" s="66"/>
      <c r="L74" s="66"/>
      <c r="M74" s="67"/>
      <c r="N74" s="139"/>
      <c r="O74" s="26"/>
    </row>
    <row r="75" spans="1:15" s="4" customFormat="1" ht="15" customHeight="1">
      <c r="A75" s="43"/>
      <c r="B75" s="65"/>
      <c r="C75" s="66"/>
      <c r="D75" s="66"/>
      <c r="E75" s="65"/>
      <c r="F75" s="66"/>
      <c r="G75" s="65"/>
      <c r="H75" s="135"/>
      <c r="I75" s="66"/>
      <c r="J75" s="66"/>
      <c r="K75" s="66"/>
      <c r="L75" s="66"/>
      <c r="M75" s="67"/>
      <c r="N75" s="139"/>
      <c r="O75" s="26"/>
    </row>
    <row r="76" spans="1:15" ht="15" customHeight="1">
      <c r="A76" s="179" t="s">
        <v>40</v>
      </c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</row>
    <row r="77" spans="1:15" s="12" customFormat="1" ht="16.5" customHeight="1">
      <c r="A77" s="13" t="s">
        <v>41</v>
      </c>
      <c r="B77" s="13" t="s">
        <v>26</v>
      </c>
      <c r="C77" s="13" t="s">
        <v>27</v>
      </c>
      <c r="D77" s="13" t="s">
        <v>42</v>
      </c>
      <c r="E77" s="13" t="s">
        <v>17</v>
      </c>
      <c r="F77" s="13" t="s">
        <v>43</v>
      </c>
      <c r="G77" s="13" t="s">
        <v>19</v>
      </c>
      <c r="H77" s="34" t="s">
        <v>20</v>
      </c>
      <c r="I77" s="112" t="s">
        <v>21</v>
      </c>
      <c r="J77" s="112" t="s">
        <v>22</v>
      </c>
      <c r="K77" s="40" t="s">
        <v>44</v>
      </c>
      <c r="L77" s="41" t="s">
        <v>24</v>
      </c>
      <c r="M77" s="180" t="s">
        <v>39</v>
      </c>
      <c r="N77" s="180"/>
      <c r="O77" s="28"/>
    </row>
    <row r="78" spans="1:15" ht="16.5" customHeight="1">
      <c r="A78" s="181" t="s">
        <v>266</v>
      </c>
      <c r="B78" s="156" t="s">
        <v>272</v>
      </c>
      <c r="C78" s="71" t="s">
        <v>45</v>
      </c>
      <c r="D78" s="71" t="s">
        <v>78</v>
      </c>
      <c r="E78" s="71" t="s">
        <v>81</v>
      </c>
      <c r="F78" s="74" t="s">
        <v>47</v>
      </c>
      <c r="G78" s="74" t="s">
        <v>268</v>
      </c>
      <c r="H78" s="74" t="s">
        <v>269</v>
      </c>
      <c r="I78" s="72">
        <v>2300</v>
      </c>
      <c r="J78" s="75">
        <v>780</v>
      </c>
      <c r="K78" s="72">
        <v>1794000</v>
      </c>
      <c r="L78" s="197">
        <f>SUM(K78:K79)</f>
        <v>3734000</v>
      </c>
      <c r="M78" s="152"/>
      <c r="N78" s="140"/>
    </row>
    <row r="79" spans="1:15" ht="16.5" customHeight="1">
      <c r="A79" s="164"/>
      <c r="B79" s="156" t="s">
        <v>267</v>
      </c>
      <c r="C79" s="71" t="s">
        <v>45</v>
      </c>
      <c r="D79" s="71" t="s">
        <v>78</v>
      </c>
      <c r="E79" s="71" t="s">
        <v>81</v>
      </c>
      <c r="F79" s="74" t="s">
        <v>47</v>
      </c>
      <c r="G79" s="74" t="s">
        <v>270</v>
      </c>
      <c r="H79" s="74" t="s">
        <v>271</v>
      </c>
      <c r="I79" s="72">
        <v>2000</v>
      </c>
      <c r="J79" s="75">
        <v>970</v>
      </c>
      <c r="K79" s="72">
        <v>1940000</v>
      </c>
      <c r="L79" s="160"/>
      <c r="M79" s="152"/>
      <c r="N79" s="140"/>
    </row>
    <row r="80" spans="1:15" ht="16.5" hidden="1" customHeight="1">
      <c r="A80" s="82"/>
      <c r="B80" s="71"/>
      <c r="C80" s="71"/>
      <c r="D80" s="71"/>
      <c r="E80" s="71"/>
      <c r="F80" s="74"/>
      <c r="G80" s="74"/>
      <c r="H80" s="74"/>
      <c r="I80" s="75"/>
      <c r="J80" s="72"/>
      <c r="K80" s="72"/>
      <c r="L80" s="153"/>
      <c r="M80" s="152"/>
      <c r="N80" s="140"/>
    </row>
    <row r="81" spans="1:18" ht="16.5" hidden="1" customHeight="1">
      <c r="A81" s="82"/>
      <c r="B81" s="71"/>
      <c r="C81" s="71"/>
      <c r="D81" s="71"/>
      <c r="E81" s="71"/>
      <c r="F81" s="74"/>
      <c r="G81" s="74"/>
      <c r="H81" s="74"/>
      <c r="I81" s="75"/>
      <c r="J81" s="72"/>
      <c r="K81" s="72"/>
      <c r="L81" s="153"/>
      <c r="M81" s="152"/>
      <c r="N81" s="140"/>
    </row>
    <row r="82" spans="1:18" ht="16.5" hidden="1" customHeight="1">
      <c r="A82" s="82"/>
      <c r="B82" s="71"/>
      <c r="C82" s="71"/>
      <c r="D82" s="71"/>
      <c r="E82" s="71"/>
      <c r="F82" s="74"/>
      <c r="G82" s="74"/>
      <c r="H82" s="74"/>
      <c r="I82" s="75"/>
      <c r="J82" s="72"/>
      <c r="K82" s="72"/>
      <c r="L82" s="153"/>
      <c r="M82" s="152"/>
      <c r="N82" s="140"/>
    </row>
    <row r="83" spans="1:18" ht="16.5" hidden="1" customHeight="1">
      <c r="A83" s="82"/>
      <c r="B83" s="71"/>
      <c r="C83" s="71"/>
      <c r="D83" s="71"/>
      <c r="E83" s="71"/>
      <c r="F83" s="74"/>
      <c r="G83" s="74"/>
      <c r="H83" s="74"/>
      <c r="I83" s="75"/>
      <c r="J83" s="72"/>
      <c r="K83" s="72"/>
      <c r="L83" s="153"/>
      <c r="M83" s="152"/>
      <c r="N83" s="140"/>
    </row>
    <row r="84" spans="1:18" ht="16.5" hidden="1" customHeight="1">
      <c r="A84" s="82"/>
      <c r="B84" s="71"/>
      <c r="C84" s="71"/>
      <c r="D84" s="71"/>
      <c r="E84" s="71"/>
      <c r="F84" s="74"/>
      <c r="G84" s="74"/>
      <c r="H84" s="74"/>
      <c r="I84" s="75"/>
      <c r="J84" s="72"/>
      <c r="K84" s="72"/>
      <c r="L84" s="153"/>
      <c r="M84" s="152"/>
      <c r="N84" s="140"/>
    </row>
    <row r="85" spans="1:18" ht="16.5" hidden="1" customHeight="1">
      <c r="A85" s="82"/>
      <c r="B85" s="71"/>
      <c r="C85" s="71"/>
      <c r="D85" s="71"/>
      <c r="E85" s="71"/>
      <c r="F85" s="74"/>
      <c r="G85" s="74"/>
      <c r="H85" s="74"/>
      <c r="I85" s="75"/>
      <c r="J85" s="72"/>
      <c r="K85" s="72"/>
      <c r="L85" s="153"/>
      <c r="M85" s="152"/>
      <c r="N85" s="140"/>
    </row>
    <row r="86" spans="1:18" ht="16.5" hidden="1" customHeight="1">
      <c r="A86" s="82"/>
      <c r="B86" s="71"/>
      <c r="C86" s="71"/>
      <c r="D86" s="71"/>
      <c r="E86" s="71"/>
      <c r="F86" s="74"/>
      <c r="G86" s="74"/>
      <c r="H86" s="74"/>
      <c r="I86" s="75"/>
      <c r="J86" s="72"/>
      <c r="K86" s="72"/>
      <c r="L86" s="153"/>
      <c r="M86" s="152"/>
      <c r="N86" s="140"/>
    </row>
    <row r="87" spans="1:18" ht="16.5" hidden="1" customHeight="1">
      <c r="A87" s="151"/>
      <c r="B87" s="71"/>
      <c r="C87" s="71"/>
      <c r="D87" s="71"/>
      <c r="E87" s="71"/>
      <c r="F87" s="74"/>
      <c r="G87" s="74"/>
      <c r="H87" s="74"/>
      <c r="I87" s="75"/>
      <c r="J87" s="72"/>
      <c r="K87" s="72"/>
      <c r="L87" s="154"/>
      <c r="M87" s="152"/>
      <c r="N87" s="140"/>
    </row>
    <row r="88" spans="1:18" s="7" customFormat="1" ht="16.5" hidden="1" customHeight="1">
      <c r="A88" s="74"/>
      <c r="B88" s="71"/>
      <c r="C88" s="71"/>
      <c r="D88" s="71"/>
      <c r="E88" s="71"/>
      <c r="F88" s="74"/>
      <c r="G88" s="74"/>
      <c r="H88" s="74"/>
      <c r="I88" s="75"/>
      <c r="J88" s="72"/>
      <c r="K88" s="72"/>
      <c r="L88" s="81"/>
      <c r="M88" s="152"/>
      <c r="N88" s="140"/>
      <c r="P88" s="8"/>
      <c r="Q88" s="8"/>
      <c r="R88" s="8"/>
    </row>
    <row r="89" spans="1:18" s="7" customFormat="1" ht="16.5" hidden="1" customHeight="1">
      <c r="A89" s="162"/>
      <c r="B89" s="142"/>
      <c r="C89" s="71"/>
      <c r="D89" s="71"/>
      <c r="E89" s="71"/>
      <c r="F89" s="74"/>
      <c r="G89" s="74"/>
      <c r="H89" s="74"/>
      <c r="I89" s="75"/>
      <c r="J89" s="72"/>
      <c r="K89" s="72"/>
      <c r="L89" s="159"/>
      <c r="M89" s="152"/>
      <c r="N89" s="140"/>
      <c r="P89" s="8"/>
      <c r="Q89" s="8"/>
      <c r="R89" s="8"/>
    </row>
    <row r="90" spans="1:18" s="7" customFormat="1" ht="16.5" hidden="1" customHeight="1">
      <c r="A90" s="165"/>
      <c r="B90" s="142"/>
      <c r="C90" s="71"/>
      <c r="D90" s="71"/>
      <c r="E90" s="71"/>
      <c r="F90" s="74"/>
      <c r="G90" s="74"/>
      <c r="H90" s="74"/>
      <c r="I90" s="75"/>
      <c r="J90" s="72"/>
      <c r="K90" s="72"/>
      <c r="L90" s="161"/>
      <c r="M90" s="152"/>
      <c r="N90" s="140"/>
      <c r="P90" s="8"/>
      <c r="Q90" s="8"/>
      <c r="R90" s="8"/>
    </row>
    <row r="91" spans="1:18" ht="17.25" customHeight="1">
      <c r="A91" s="87" t="str">
        <f ca="1">MID(CELL("filename",$A$1),FIND("]",CELL("filename",$A$1))+1,100)&amp;" TOTAL"</f>
        <v>2025.12.2(TUE) TOTAL</v>
      </c>
      <c r="B91" s="88"/>
      <c r="C91" s="88"/>
      <c r="D91" s="88"/>
      <c r="E91" s="88"/>
      <c r="F91" s="92"/>
      <c r="G91" s="92"/>
      <c r="H91" s="92"/>
      <c r="I91" s="88"/>
      <c r="J91" s="89"/>
      <c r="K91" s="44">
        <f>SUM(K78:K90)</f>
        <v>3734000</v>
      </c>
      <c r="L91" s="44">
        <f>SUM(L78:L90)</f>
        <v>3734000</v>
      </c>
      <c r="M91" s="90"/>
      <c r="N91" s="141"/>
    </row>
    <row r="92" spans="1:18" ht="12.75" customHeight="1"/>
    <row r="93" spans="1:18" s="12" customFormat="1">
      <c r="C93" s="8"/>
      <c r="D93" s="8"/>
      <c r="H93" s="132"/>
      <c r="I93" s="4"/>
      <c r="J93" s="4"/>
      <c r="K93" s="4"/>
      <c r="L93" s="4"/>
      <c r="M93" s="5"/>
      <c r="N93" s="6"/>
      <c r="O93" s="7"/>
    </row>
    <row r="97" spans="1:15" s="4" customFormat="1">
      <c r="A97" s="12"/>
      <c r="B97" s="12"/>
      <c r="C97" s="8"/>
      <c r="D97" s="8"/>
      <c r="E97" s="12"/>
      <c r="F97" s="12"/>
      <c r="G97" s="12"/>
      <c r="H97" s="24"/>
      <c r="M97" s="5"/>
      <c r="N97" s="6"/>
      <c r="O97" s="7"/>
    </row>
    <row r="98" spans="1:15" s="4" customFormat="1">
      <c r="A98" s="12"/>
      <c r="B98" s="12"/>
      <c r="C98" s="8"/>
      <c r="D98" s="8"/>
      <c r="E98" s="12"/>
      <c r="F98" s="12"/>
      <c r="G98" s="12"/>
      <c r="H98" s="132"/>
      <c r="J98" s="91"/>
      <c r="M98" s="5"/>
      <c r="N98" s="6"/>
      <c r="O98" s="7"/>
    </row>
    <row r="99" spans="1:15" s="4" customFormat="1">
      <c r="A99" s="12"/>
      <c r="B99" s="12"/>
      <c r="C99" s="8"/>
      <c r="D99" s="8"/>
      <c r="E99" s="12"/>
      <c r="F99" s="12"/>
      <c r="G99" s="12"/>
      <c r="H99" s="132"/>
      <c r="J99" s="2"/>
      <c r="M99" s="5"/>
      <c r="N99" s="6"/>
      <c r="O99" s="7"/>
    </row>
    <row r="100" spans="1:15">
      <c r="J100" s="3"/>
    </row>
    <row r="101" spans="1:15" s="4" customFormat="1">
      <c r="A101" s="12"/>
      <c r="B101" s="12"/>
      <c r="C101" s="8"/>
      <c r="D101" s="8"/>
      <c r="E101" s="12"/>
      <c r="F101" s="12"/>
      <c r="G101" s="12"/>
      <c r="H101" s="132"/>
      <c r="J101" s="3"/>
      <c r="M101" s="5"/>
      <c r="N101" s="6"/>
      <c r="O101" s="7"/>
    </row>
    <row r="102" spans="1:15" s="4" customFormat="1">
      <c r="A102" s="12"/>
      <c r="B102" s="12"/>
      <c r="C102" s="8"/>
      <c r="D102" s="8"/>
      <c r="E102" s="12"/>
      <c r="F102" s="12"/>
      <c r="G102" s="12"/>
      <c r="H102" s="132"/>
      <c r="J102" s="3"/>
      <c r="M102" s="5"/>
      <c r="N102" s="6"/>
      <c r="O102" s="7"/>
    </row>
    <row r="103" spans="1:15" s="4" customFormat="1">
      <c r="A103" s="12"/>
      <c r="B103" s="12"/>
      <c r="C103" s="8"/>
      <c r="D103" s="8"/>
      <c r="E103" s="12"/>
      <c r="F103" s="12"/>
      <c r="G103" s="12"/>
      <c r="H103" s="132"/>
      <c r="J103" s="3"/>
      <c r="M103" s="5"/>
      <c r="N103" s="6"/>
      <c r="O103" s="7"/>
    </row>
  </sheetData>
  <mergeCells count="35">
    <mergeCell ref="A36:N36"/>
    <mergeCell ref="A1:F1"/>
    <mergeCell ref="A2:E2"/>
    <mergeCell ref="A7:F7"/>
    <mergeCell ref="A8:C8"/>
    <mergeCell ref="D8:F8"/>
    <mergeCell ref="A10:B10"/>
    <mergeCell ref="D10:E10"/>
    <mergeCell ref="A11:B11"/>
    <mergeCell ref="D11:E11"/>
    <mergeCell ref="A9:B9"/>
    <mergeCell ref="D9:E9"/>
    <mergeCell ref="C16:C18"/>
    <mergeCell ref="D16:D18"/>
    <mergeCell ref="C24:C26"/>
    <mergeCell ref="A45:A46"/>
    <mergeCell ref="N45:N46"/>
    <mergeCell ref="A39:A40"/>
    <mergeCell ref="A43:A44"/>
    <mergeCell ref="N39:N40"/>
    <mergeCell ref="N43:N44"/>
    <mergeCell ref="A66:J66"/>
    <mergeCell ref="A48:A50"/>
    <mergeCell ref="N48:N50"/>
    <mergeCell ref="A57:A58"/>
    <mergeCell ref="B57:B58"/>
    <mergeCell ref="L57:L58"/>
    <mergeCell ref="A59:J59"/>
    <mergeCell ref="L62:L65"/>
    <mergeCell ref="A76:N76"/>
    <mergeCell ref="M77:N77"/>
    <mergeCell ref="L78:L79"/>
    <mergeCell ref="A78:A79"/>
    <mergeCell ref="A89:A90"/>
    <mergeCell ref="L89:L90"/>
  </mergeCells>
  <phoneticPr fontId="8" type="noConversion"/>
  <conditionalFormatting sqref="D20:D29 F35:F1048576">
    <cfRule type="containsText" dxfId="23" priority="10" operator="containsText" text="NO LOGO">
      <formula>NOT(ISERROR(SEARCH("NO LOGO",D20)))</formula>
    </cfRule>
    <cfRule type="containsText" dxfId="22" priority="11" operator="containsText" text="BLUE">
      <formula>NOT(ISERROR(SEARCH("BLUE",D20)))</formula>
    </cfRule>
    <cfRule type="containsText" dxfId="21" priority="12" operator="containsText" text="RED">
      <formula>NOT(ISERROR(SEARCH("RED",D20)))</formula>
    </cfRule>
  </conditionalFormatting>
  <conditionalFormatting sqref="E14:E19 E30:E34">
    <cfRule type="containsText" dxfId="20" priority="16" operator="containsText" text="NO LOGO">
      <formula>NOT(ISERROR(SEARCH("NO LOGO",E14)))</formula>
    </cfRule>
    <cfRule type="containsText" dxfId="19" priority="17" operator="containsText" text="BLUE">
      <formula>NOT(ISERROR(SEARCH("BLUE",E14)))</formula>
    </cfRule>
    <cfRule type="containsText" dxfId="18" priority="18" operator="containsText" text="RED">
      <formula>NOT(ISERROR(SEARCH("RED",E14)))</formula>
    </cfRule>
  </conditionalFormatting>
  <conditionalFormatting sqref="F1:F8">
    <cfRule type="containsText" dxfId="17" priority="1" operator="containsText" text="NO LOGO">
      <formula>NOT(ISERROR(SEARCH("NO LOGO",F1)))</formula>
    </cfRule>
    <cfRule type="containsText" dxfId="16" priority="2" operator="containsText" text="BLUE">
      <formula>NOT(ISERROR(SEARCH("BLUE",F1)))</formula>
    </cfRule>
    <cfRule type="containsText" dxfId="15" priority="3" operator="containsText" text="RED">
      <formula>NOT(ISERROR(SEARCH("RED",F1)))</formula>
    </cfRule>
  </conditionalFormatting>
  <conditionalFormatting sqref="F13">
    <cfRule type="containsText" dxfId="14" priority="13" operator="containsText" text="NO LOGO">
      <formula>NOT(ISERROR(SEARCH("NO LOGO",F13)))</formula>
    </cfRule>
    <cfRule type="containsText" dxfId="13" priority="14" operator="containsText" text="BLUE">
      <formula>NOT(ISERROR(SEARCH("BLUE",F13)))</formula>
    </cfRule>
    <cfRule type="containsText" dxfId="12" priority="15" operator="containsText" text="RED">
      <formula>NOT(ISERROR(SEARCH("RED",F13)))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594C-1B96-4D32-96A9-093E53C15D2A}">
  <dimension ref="A1:R142"/>
  <sheetViews>
    <sheetView showGridLines="0" zoomScale="80" zoomScaleNormal="80" workbookViewId="0">
      <selection activeCell="A10" sqref="A10:F10"/>
    </sheetView>
  </sheetViews>
  <sheetFormatPr defaultColWidth="18.5703125" defaultRowHeight="13.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>
      <c r="A1" s="191" t="s">
        <v>206</v>
      </c>
      <c r="B1" s="191"/>
      <c r="C1" s="191"/>
      <c r="D1" s="191"/>
      <c r="E1" s="191"/>
      <c r="F1" s="191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>
      <c r="A2" s="192" t="s">
        <v>49</v>
      </c>
      <c r="B2" s="192"/>
      <c r="C2" s="192"/>
      <c r="D2" s="192"/>
      <c r="E2" s="192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>
      <c r="A4" s="71" t="s">
        <v>56</v>
      </c>
      <c r="B4" s="72">
        <v>9009410</v>
      </c>
      <c r="C4" s="72">
        <v>350476000</v>
      </c>
      <c r="D4" s="75">
        <v>0</v>
      </c>
      <c r="E4" s="73">
        <v>2.5999999999999999E-2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>
      <c r="A5" s="71" t="s">
        <v>57</v>
      </c>
      <c r="B5" s="72">
        <v>9009410</v>
      </c>
      <c r="C5" s="72">
        <v>322041000</v>
      </c>
      <c r="D5" s="75">
        <v>0</v>
      </c>
      <c r="E5" s="73">
        <v>2.8000000000000001E-2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>
      <c r="A7" s="193"/>
      <c r="B7" s="194"/>
      <c r="C7" s="194"/>
      <c r="D7" s="194"/>
      <c r="E7" s="194"/>
      <c r="F7" s="195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>
      <c r="A8" s="196" t="s">
        <v>59</v>
      </c>
      <c r="B8" s="196"/>
      <c r="C8" s="196"/>
      <c r="D8" s="196" t="s">
        <v>60</v>
      </c>
      <c r="E8" s="196"/>
      <c r="F8" s="196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>
      <c r="A9" s="167" t="s">
        <v>207</v>
      </c>
      <c r="B9" s="168"/>
      <c r="C9" s="72">
        <v>11520710</v>
      </c>
      <c r="D9" s="167" t="s">
        <v>207</v>
      </c>
      <c r="E9" s="168"/>
      <c r="F9" s="72">
        <v>9009410</v>
      </c>
      <c r="G9" s="28"/>
      <c r="H9" s="12"/>
      <c r="I9" s="3"/>
      <c r="K9" s="3"/>
    </row>
    <row r="10" spans="1:18" ht="13.5" customHeight="1">
      <c r="A10" s="169" t="s">
        <v>208</v>
      </c>
      <c r="B10" s="169"/>
      <c r="C10" s="147">
        <v>11520710</v>
      </c>
      <c r="D10" s="169" t="s">
        <v>208</v>
      </c>
      <c r="E10" s="169"/>
      <c r="F10" s="147">
        <v>9009410</v>
      </c>
      <c r="G10" s="28"/>
      <c r="H10" s="12"/>
      <c r="I10" s="3"/>
      <c r="K10" s="3"/>
    </row>
    <row r="11" spans="1:18" ht="13.5" customHeight="1">
      <c r="A11" s="148"/>
      <c r="B11" s="148"/>
      <c r="C11" s="136"/>
      <c r="D11" s="148"/>
      <c r="E11" s="148"/>
      <c r="F11" s="136"/>
      <c r="G11" s="28"/>
      <c r="H11" s="12"/>
      <c r="I11" s="3"/>
      <c r="K11" s="3"/>
    </row>
    <row r="12" spans="1:18" ht="15.75" customHeight="1">
      <c r="A12" s="11" t="s">
        <v>0</v>
      </c>
      <c r="F12" s="68"/>
      <c r="G12" s="46"/>
      <c r="M12" s="10"/>
    </row>
    <row r="13" spans="1:18" ht="15" customHeight="1">
      <c r="A13" s="13" t="s">
        <v>1</v>
      </c>
      <c r="B13" s="69" t="s">
        <v>62</v>
      </c>
      <c r="C13" s="69" t="s">
        <v>2</v>
      </c>
      <c r="D13" s="34" t="s">
        <v>63</v>
      </c>
      <c r="E13" s="13" t="s">
        <v>3</v>
      </c>
      <c r="F13" s="5"/>
      <c r="G13" s="25"/>
      <c r="H13" s="10"/>
      <c r="I13" s="15"/>
      <c r="J13" s="15"/>
      <c r="K13" s="9"/>
      <c r="L13" s="5"/>
      <c r="M13" s="6"/>
      <c r="N13" s="137"/>
      <c r="O13" s="8"/>
    </row>
    <row r="14" spans="1:18" ht="15.75" customHeight="1">
      <c r="A14" s="16" t="s">
        <v>4</v>
      </c>
      <c r="B14" s="17">
        <f>SUMIF(F37:F57,"RED",M37:M57)</f>
        <v>2304580</v>
      </c>
      <c r="C14" s="17">
        <f>L66*C34</f>
        <v>3614190.2399999998</v>
      </c>
      <c r="D14" s="17">
        <f>L73*D34</f>
        <v>0</v>
      </c>
      <c r="E14" s="17">
        <f>SUM(B14:D14)</f>
        <v>5918770.2400000002</v>
      </c>
      <c r="F14" s="5"/>
      <c r="G14" s="25"/>
      <c r="H14" s="10"/>
      <c r="I14" s="15"/>
      <c r="J14" s="15"/>
      <c r="L14" s="5"/>
      <c r="M14" s="6"/>
      <c r="N14" s="137"/>
      <c r="O14" s="8"/>
    </row>
    <row r="15" spans="1:18" s="5" customFormat="1" ht="15.75" customHeight="1">
      <c r="A15" s="16" t="s">
        <v>5</v>
      </c>
      <c r="B15" s="17">
        <f>SUMIF(F37:F57,"BLUE",M37:M57)</f>
        <v>6723930</v>
      </c>
      <c r="C15" s="186"/>
      <c r="D15" s="186"/>
      <c r="E15" s="17">
        <f>SUM(B15:C15)</f>
        <v>6723930</v>
      </c>
      <c r="G15" s="25"/>
      <c r="H15" s="10"/>
      <c r="I15" s="15"/>
      <c r="J15" s="15"/>
      <c r="K15" s="6"/>
      <c r="M15" s="6"/>
      <c r="N15" s="18"/>
    </row>
    <row r="16" spans="1:18" s="5" customFormat="1" ht="15.75" customHeight="1">
      <c r="A16" s="16" t="s">
        <v>6</v>
      </c>
      <c r="B16" s="17">
        <f>SUMIF(F37:F57,"OEM",M37:M57)</f>
        <v>337000</v>
      </c>
      <c r="C16" s="187"/>
      <c r="D16" s="187"/>
      <c r="E16" s="17">
        <f>SUM(B16:C16)</f>
        <v>337000</v>
      </c>
      <c r="G16" s="25"/>
      <c r="H16" s="10"/>
      <c r="I16" s="15"/>
      <c r="J16" s="15"/>
      <c r="K16" s="6"/>
      <c r="M16" s="6"/>
      <c r="N16" s="18"/>
    </row>
    <row r="17" spans="1:15" s="5" customFormat="1" ht="15.75" customHeight="1">
      <c r="A17" s="16" t="s">
        <v>7</v>
      </c>
      <c r="B17" s="17">
        <f>SUMIF(F37:F57,"NO LOGO",M37:M57)</f>
        <v>2155200</v>
      </c>
      <c r="C17" s="187"/>
      <c r="D17" s="187"/>
      <c r="E17" s="17">
        <f>SUM(B17:C17)</f>
        <v>2155200</v>
      </c>
      <c r="G17" s="25"/>
      <c r="H17" s="10"/>
      <c r="I17" s="15"/>
      <c r="J17" s="15"/>
      <c r="K17" s="6"/>
      <c r="M17" s="6"/>
      <c r="N17" s="18"/>
    </row>
    <row r="18" spans="1:15" s="5" customFormat="1" ht="15.75" customHeight="1">
      <c r="A18" s="13" t="s">
        <v>8</v>
      </c>
      <c r="B18" s="19">
        <f>SUM(B14:B17)</f>
        <v>11520710</v>
      </c>
      <c r="C18" s="19">
        <f>C14</f>
        <v>3614190.2399999998</v>
      </c>
      <c r="D18" s="19">
        <f>D14</f>
        <v>0</v>
      </c>
      <c r="E18" s="19">
        <f>SUM(E14:E17)</f>
        <v>15134900.24</v>
      </c>
      <c r="G18" s="25"/>
      <c r="H18" s="10"/>
      <c r="I18" s="15"/>
      <c r="J18" s="15"/>
      <c r="K18" s="6"/>
      <c r="M18" s="6"/>
      <c r="N18" s="18"/>
    </row>
    <row r="19" spans="1:15" s="5" customFormat="1" ht="15.75" customHeight="1">
      <c r="A19" s="20"/>
      <c r="B19" s="22"/>
      <c r="C19" s="22"/>
      <c r="D19" s="22"/>
      <c r="F19" s="14"/>
      <c r="G19" s="10"/>
      <c r="H19" s="10"/>
      <c r="I19" s="15"/>
      <c r="J19" s="6"/>
      <c r="L19" s="6"/>
      <c r="M19" s="18"/>
    </row>
    <row r="20" spans="1:15" s="5" customFormat="1" ht="15.75" customHeight="1">
      <c r="A20" s="11" t="s">
        <v>9</v>
      </c>
      <c r="B20" s="12"/>
      <c r="C20" s="8"/>
      <c r="D20" s="8"/>
      <c r="F20" s="14"/>
      <c r="G20" s="10"/>
      <c r="H20" s="10"/>
      <c r="I20" s="4"/>
      <c r="J20" s="6"/>
      <c r="L20" s="6"/>
      <c r="M20" s="18"/>
    </row>
    <row r="21" spans="1:15" s="5" customFormat="1" ht="15.75" customHeight="1">
      <c r="A21" s="13" t="s">
        <v>1</v>
      </c>
      <c r="B21" s="69" t="s">
        <v>64</v>
      </c>
      <c r="C21" s="69" t="s">
        <v>2</v>
      </c>
      <c r="D21" s="69" t="s">
        <v>3</v>
      </c>
      <c r="F21" s="14"/>
      <c r="G21" s="10"/>
      <c r="H21" s="10"/>
      <c r="I21" s="15"/>
      <c r="J21" s="15"/>
      <c r="K21" s="24"/>
      <c r="L21" s="6"/>
      <c r="M21" s="18"/>
    </row>
    <row r="22" spans="1:15" s="5" customFormat="1" ht="15.75" customHeight="1">
      <c r="A22" s="16" t="s">
        <v>4</v>
      </c>
      <c r="B22" s="17">
        <f>SUMIFS(K78:K176,O78:O176,"&lt;&gt;"&amp;"CONVUM",O78:O176,"&lt;&gt;"&amp;"MYOTOKU CHINA",F78:F176,"RED")</f>
        <v>320900</v>
      </c>
      <c r="C22" s="17">
        <f>SUMIFS(K78:K176,O78:O176,"CONVUM",F78:F176,"RED")</f>
        <v>0</v>
      </c>
      <c r="D22" s="17">
        <f>SUM(B22:C22)</f>
        <v>320900</v>
      </c>
      <c r="F22" s="14"/>
      <c r="G22" s="10"/>
      <c r="I22" s="15"/>
      <c r="J22" s="6"/>
      <c r="L22" s="6"/>
      <c r="M22" s="18"/>
    </row>
    <row r="23" spans="1:15" s="5" customFormat="1" ht="15.75" customHeight="1">
      <c r="A23" s="16" t="s">
        <v>5</v>
      </c>
      <c r="B23" s="17">
        <f>SUMIFS(K78:K176,O78:O176,"&lt;&gt;"&amp;"CONVUM",O78:O176,"&lt;&gt;"&amp;"MYOTOKU CHINA",F78:F176,"BLUE")</f>
        <v>8688510</v>
      </c>
      <c r="C23" s="186"/>
      <c r="D23" s="17">
        <f>SUM(B23:C23)</f>
        <v>8688510</v>
      </c>
      <c r="F23" s="14"/>
      <c r="G23" s="10"/>
      <c r="H23" s="10"/>
      <c r="I23" s="15"/>
      <c r="J23" s="6"/>
      <c r="L23" s="6"/>
      <c r="M23" s="18"/>
    </row>
    <row r="24" spans="1:15" s="5" customFormat="1" ht="15.75" customHeight="1">
      <c r="A24" s="16" t="s">
        <v>6</v>
      </c>
      <c r="B24" s="17">
        <f>SUMIFS(K78:K176,O78:O176,"&lt;&gt;"&amp;"CONVUM",O78:O176,"&lt;&gt;"&amp;"MYOTOKU CHINA",F78:F176,"OEM")</f>
        <v>0</v>
      </c>
      <c r="C24" s="187"/>
      <c r="D24" s="17">
        <f>SUM(B24:C24)</f>
        <v>0</v>
      </c>
      <c r="F24" s="14"/>
      <c r="G24" s="10"/>
      <c r="H24" s="10"/>
      <c r="I24" s="15"/>
      <c r="J24" s="6"/>
      <c r="L24" s="6"/>
      <c r="M24" s="18"/>
    </row>
    <row r="25" spans="1:15" s="5" customFormat="1" ht="15.75" customHeight="1">
      <c r="A25" s="16" t="s">
        <v>7</v>
      </c>
      <c r="B25" s="17">
        <f>SUMIFS(K78:K176,O78:O176,"&lt;&gt;"&amp;"CONVUM",O78:O176,"&lt;&gt;"&amp;"MYOTOKU CHINA",F78:F176,"NO LOGO")</f>
        <v>0</v>
      </c>
      <c r="C25" s="188"/>
      <c r="D25" s="17">
        <f>SUM(B25:C25)</f>
        <v>0</v>
      </c>
      <c r="F25" s="14"/>
      <c r="G25" s="10"/>
      <c r="H25" s="10"/>
      <c r="I25" s="15"/>
      <c r="J25" s="6"/>
      <c r="L25" s="6"/>
      <c r="M25" s="18"/>
    </row>
    <row r="26" spans="1:15" s="5" customFormat="1" ht="15.75" customHeight="1">
      <c r="A26" s="13" t="s">
        <v>8</v>
      </c>
      <c r="B26" s="19">
        <f>SUM(B22:B25)</f>
        <v>9009410</v>
      </c>
      <c r="C26" s="19">
        <f>C22</f>
        <v>0</v>
      </c>
      <c r="D26" s="19">
        <f>SUM(D22:D25)</f>
        <v>9009410</v>
      </c>
      <c r="F26" s="14"/>
      <c r="G26" s="10"/>
      <c r="H26" s="10"/>
      <c r="I26" s="15"/>
      <c r="J26" s="6"/>
      <c r="L26" s="6"/>
      <c r="M26" s="18"/>
    </row>
    <row r="27" spans="1:15" s="5" customFormat="1" ht="15.75" customHeight="1">
      <c r="A27" s="20"/>
      <c r="B27" s="21"/>
      <c r="C27" s="21"/>
      <c r="D27" s="21"/>
      <c r="F27" s="14"/>
      <c r="G27" s="10"/>
      <c r="I27" s="15"/>
      <c r="J27" s="6"/>
      <c r="L27" s="6"/>
      <c r="M27" s="18"/>
    </row>
    <row r="28" spans="1:15" s="5" customFormat="1" ht="15.75" customHeight="1">
      <c r="A28" s="11" t="s">
        <v>10</v>
      </c>
      <c r="B28" s="23"/>
      <c r="C28" s="45"/>
      <c r="D28" s="23"/>
      <c r="F28" s="14"/>
      <c r="G28" s="10"/>
      <c r="H28" s="10"/>
      <c r="I28" s="15"/>
      <c r="J28" s="6"/>
      <c r="L28" s="6"/>
      <c r="M28" s="18"/>
    </row>
    <row r="29" spans="1:15" s="5" customFormat="1" ht="15.75" customHeight="1">
      <c r="A29" s="13" t="s">
        <v>1</v>
      </c>
      <c r="B29" s="13" t="s">
        <v>48</v>
      </c>
      <c r="C29" s="13" t="s">
        <v>2</v>
      </c>
      <c r="D29" s="34" t="s">
        <v>63</v>
      </c>
      <c r="E29" s="13" t="s">
        <v>3</v>
      </c>
      <c r="G29" s="25"/>
      <c r="H29" s="10"/>
      <c r="I29" s="15"/>
      <c r="J29" s="15"/>
      <c r="K29" s="6"/>
      <c r="M29" s="6"/>
      <c r="N29" s="18"/>
    </row>
    <row r="30" spans="1:15" ht="15.75" customHeight="1">
      <c r="A30" s="16" t="s">
        <v>126</v>
      </c>
      <c r="B30" s="17" ph="1">
        <v>83147380</v>
      </c>
      <c r="C30" s="17">
        <f>3868500*C34</f>
        <v>36259063.649999999</v>
      </c>
      <c r="D30" s="17">
        <f>0*D34</f>
        <v>0</v>
      </c>
      <c r="E30" s="17">
        <f>SUM(B30:D30)</f>
        <v>119406443.65000001</v>
      </c>
      <c r="F30" s="5"/>
      <c r="G30" s="133"/>
      <c r="H30" s="5"/>
      <c r="I30" s="6"/>
      <c r="J30" s="6"/>
      <c r="K30" s="6"/>
      <c r="L30" s="5"/>
      <c r="M30" s="6"/>
      <c r="N30" s="137"/>
      <c r="O30" s="8"/>
    </row>
    <row r="31" spans="1:15" ht="15.75" customHeight="1">
      <c r="A31" s="16" t="s">
        <v>230</v>
      </c>
      <c r="B31" s="17" ph="1">
        <v>0</v>
      </c>
      <c r="C31" s="17">
        <f>3760000*C34</f>
        <v>35242104</v>
      </c>
      <c r="D31" s="17">
        <f>0*D34</f>
        <v>0</v>
      </c>
      <c r="E31" s="17">
        <f t="shared" ref="E31:E32" si="0">SUM(B31:D31)</f>
        <v>35242104</v>
      </c>
      <c r="F31" s="5"/>
      <c r="G31" s="133"/>
      <c r="H31" s="5"/>
      <c r="I31" s="6"/>
      <c r="J31" s="6"/>
      <c r="K31" s="6"/>
      <c r="L31" s="5"/>
      <c r="M31" s="6"/>
      <c r="N31" s="137"/>
      <c r="O31" s="8"/>
    </row>
    <row r="32" spans="1:15" ht="15.75" customHeight="1">
      <c r="A32" s="16" t="s">
        <v>92</v>
      </c>
      <c r="B32" s="17">
        <v>196530360</v>
      </c>
      <c r="C32" s="17">
        <f>6926500*C34</f>
        <v>64921391.849999994</v>
      </c>
      <c r="D32" s="17">
        <v>0</v>
      </c>
      <c r="E32" s="17">
        <f t="shared" si="0"/>
        <v>261451751.84999999</v>
      </c>
      <c r="F32" s="10"/>
      <c r="G32" s="25"/>
      <c r="H32" s="5"/>
      <c r="I32" s="6"/>
      <c r="J32" s="6"/>
      <c r="K32" s="6"/>
      <c r="L32" s="5"/>
      <c r="M32" s="6"/>
      <c r="N32" s="137"/>
      <c r="O32" s="8"/>
    </row>
    <row r="33" spans="1:15" ht="15.75" customHeight="1">
      <c r="A33" s="13" t="s">
        <v>8</v>
      </c>
      <c r="B33" s="19">
        <f>SUM(B30:B32)</f>
        <v>279677740</v>
      </c>
      <c r="C33" s="19">
        <f>SUM(C30:C32)</f>
        <v>136422559.5</v>
      </c>
      <c r="D33" s="19">
        <f>SUM(D30:D32)</f>
        <v>0</v>
      </c>
      <c r="E33" s="19">
        <f>SUM(E30:E32)</f>
        <v>416100299.5</v>
      </c>
      <c r="F33" s="5"/>
      <c r="G33" s="133"/>
      <c r="H33" s="5"/>
      <c r="I33" s="6"/>
      <c r="K33" s="26" t="s">
        <v>11</v>
      </c>
      <c r="L33" s="26" t="s">
        <v>67</v>
      </c>
      <c r="M33" s="6"/>
      <c r="N33" s="137"/>
      <c r="O33" s="8"/>
    </row>
    <row r="34" spans="1:15" ht="15.75" customHeight="1">
      <c r="A34" s="47"/>
      <c r="B34" s="46"/>
      <c r="C34" s="93">
        <v>9.3728999999999996</v>
      </c>
      <c r="D34" s="48">
        <v>1464.8</v>
      </c>
      <c r="G34" s="46"/>
      <c r="J34" s="6"/>
      <c r="M34" s="5" t="s">
        <v>68</v>
      </c>
    </row>
    <row r="35" spans="1:15" ht="15.75" customHeight="1">
      <c r="A35" s="189" t="s">
        <v>12</v>
      </c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90"/>
      <c r="N35" s="189"/>
    </row>
    <row r="36" spans="1:15" s="12" customFormat="1" ht="25.9" customHeight="1">
      <c r="A36" s="49" t="s">
        <v>13</v>
      </c>
      <c r="B36" s="49" t="s">
        <v>14</v>
      </c>
      <c r="C36" s="49" t="s">
        <v>15</v>
      </c>
      <c r="D36" s="49" t="s">
        <v>16</v>
      </c>
      <c r="E36" s="49" t="s">
        <v>17</v>
      </c>
      <c r="F36" s="49" t="s">
        <v>18</v>
      </c>
      <c r="G36" s="49" t="s">
        <v>19</v>
      </c>
      <c r="H36" s="27" t="s">
        <v>20</v>
      </c>
      <c r="I36" s="49" t="s">
        <v>65</v>
      </c>
      <c r="J36" s="78" t="s">
        <v>21</v>
      </c>
      <c r="K36" s="144" t="s">
        <v>66</v>
      </c>
      <c r="L36" s="79" t="s">
        <v>22</v>
      </c>
      <c r="M36" s="50" t="s">
        <v>23</v>
      </c>
      <c r="N36" s="50" t="s">
        <v>24</v>
      </c>
      <c r="O36" s="28"/>
    </row>
    <row r="37" spans="1:15" s="12" customFormat="1" ht="16.5" customHeight="1">
      <c r="A37" s="162" t="s">
        <v>127</v>
      </c>
      <c r="B37" s="71" t="s">
        <v>209</v>
      </c>
      <c r="C37" s="71" t="s">
        <v>45</v>
      </c>
      <c r="D37" s="71" t="s">
        <v>61</v>
      </c>
      <c r="E37" s="71" t="s">
        <v>46</v>
      </c>
      <c r="F37" s="74" t="s">
        <v>47</v>
      </c>
      <c r="G37" s="74" t="s">
        <v>147</v>
      </c>
      <c r="H37" s="74" t="s">
        <v>148</v>
      </c>
      <c r="I37" s="71"/>
      <c r="J37" s="77">
        <v>8</v>
      </c>
      <c r="K37" s="80" t="s">
        <v>11</v>
      </c>
      <c r="L37" s="76">
        <v>3150</v>
      </c>
      <c r="M37" s="72">
        <v>25200</v>
      </c>
      <c r="N37" s="159">
        <f>SUM(M37:M40)</f>
        <v>111040</v>
      </c>
      <c r="O37" s="28"/>
    </row>
    <row r="38" spans="1:15" s="12" customFormat="1" ht="16.5" customHeight="1">
      <c r="A38" s="163"/>
      <c r="B38" s="71" t="s">
        <v>209</v>
      </c>
      <c r="C38" s="71" t="s">
        <v>45</v>
      </c>
      <c r="D38" s="71" t="s">
        <v>61</v>
      </c>
      <c r="E38" s="71" t="s">
        <v>46</v>
      </c>
      <c r="F38" s="74" t="s">
        <v>47</v>
      </c>
      <c r="G38" s="74" t="s">
        <v>185</v>
      </c>
      <c r="H38" s="74" t="s">
        <v>186</v>
      </c>
      <c r="I38" s="71"/>
      <c r="J38" s="77">
        <v>8</v>
      </c>
      <c r="K38" s="80" t="s">
        <v>11</v>
      </c>
      <c r="L38" s="76">
        <v>3580</v>
      </c>
      <c r="M38" s="72">
        <v>28640</v>
      </c>
      <c r="N38" s="160"/>
      <c r="O38" s="28"/>
    </row>
    <row r="39" spans="1:15" s="12" customFormat="1" ht="16.5" customHeight="1">
      <c r="A39" s="163"/>
      <c r="B39" s="71" t="s">
        <v>209</v>
      </c>
      <c r="C39" s="71" t="s">
        <v>45</v>
      </c>
      <c r="D39" s="71" t="s">
        <v>61</v>
      </c>
      <c r="E39" s="71" t="s">
        <v>46</v>
      </c>
      <c r="F39" s="74" t="s">
        <v>47</v>
      </c>
      <c r="G39" s="74" t="s">
        <v>114</v>
      </c>
      <c r="H39" s="74" t="s">
        <v>115</v>
      </c>
      <c r="I39" s="71"/>
      <c r="J39" s="77">
        <v>8</v>
      </c>
      <c r="K39" s="80" t="s">
        <v>11</v>
      </c>
      <c r="L39" s="76">
        <v>2650</v>
      </c>
      <c r="M39" s="72">
        <v>21200</v>
      </c>
      <c r="N39" s="160"/>
      <c r="O39" s="28"/>
    </row>
    <row r="40" spans="1:15" s="12" customFormat="1" ht="16.5" customHeight="1">
      <c r="A40" s="164"/>
      <c r="B40" s="71" t="s">
        <v>209</v>
      </c>
      <c r="C40" s="71" t="s">
        <v>45</v>
      </c>
      <c r="D40" s="71" t="s">
        <v>61</v>
      </c>
      <c r="E40" s="71" t="s">
        <v>79</v>
      </c>
      <c r="F40" s="74" t="s">
        <v>47</v>
      </c>
      <c r="G40" s="74" t="s">
        <v>124</v>
      </c>
      <c r="H40" s="74" t="s">
        <v>125</v>
      </c>
      <c r="I40" s="71"/>
      <c r="J40" s="77">
        <v>10</v>
      </c>
      <c r="K40" s="80" t="s">
        <v>67</v>
      </c>
      <c r="L40" s="76">
        <v>3600</v>
      </c>
      <c r="M40" s="72">
        <v>36000</v>
      </c>
      <c r="N40" s="166"/>
      <c r="O40" s="28"/>
    </row>
    <row r="41" spans="1:15" s="12" customFormat="1" ht="16.5" customHeight="1">
      <c r="A41" s="162" t="s">
        <v>128</v>
      </c>
      <c r="B41" s="71" t="s">
        <v>210</v>
      </c>
      <c r="C41" s="71" t="s">
        <v>45</v>
      </c>
      <c r="D41" s="71" t="s">
        <v>61</v>
      </c>
      <c r="E41" s="71" t="s">
        <v>46</v>
      </c>
      <c r="F41" s="74" t="s">
        <v>47</v>
      </c>
      <c r="G41" s="74" t="s">
        <v>137</v>
      </c>
      <c r="H41" s="74" t="s">
        <v>138</v>
      </c>
      <c r="I41" s="71"/>
      <c r="J41" s="77">
        <v>46</v>
      </c>
      <c r="K41" s="80" t="s">
        <v>67</v>
      </c>
      <c r="L41" s="76">
        <v>3100</v>
      </c>
      <c r="M41" s="72">
        <v>142600</v>
      </c>
      <c r="N41" s="159">
        <f>SUM(M41:M42)</f>
        <v>3142600</v>
      </c>
      <c r="O41" s="28"/>
    </row>
    <row r="42" spans="1:15" s="12" customFormat="1" ht="16.5" customHeight="1">
      <c r="A42" s="164"/>
      <c r="B42" s="71" t="s">
        <v>210</v>
      </c>
      <c r="C42" s="71" t="s">
        <v>45</v>
      </c>
      <c r="D42" s="71" t="s">
        <v>61</v>
      </c>
      <c r="E42" s="71" t="s">
        <v>81</v>
      </c>
      <c r="F42" s="74" t="s">
        <v>47</v>
      </c>
      <c r="G42" s="74" t="s">
        <v>211</v>
      </c>
      <c r="H42" s="74" t="s">
        <v>212</v>
      </c>
      <c r="I42" s="71"/>
      <c r="J42" s="77">
        <v>300</v>
      </c>
      <c r="K42" s="80" t="s">
        <v>67</v>
      </c>
      <c r="L42" s="76">
        <v>10000</v>
      </c>
      <c r="M42" s="72">
        <v>3000000</v>
      </c>
      <c r="N42" s="166"/>
      <c r="O42" s="28"/>
    </row>
    <row r="43" spans="1:15" s="12" customFormat="1" ht="16.5" customHeight="1">
      <c r="A43" s="74" t="s">
        <v>98</v>
      </c>
      <c r="B43" s="71" t="s">
        <v>98</v>
      </c>
      <c r="C43" s="71" t="s">
        <v>45</v>
      </c>
      <c r="D43" s="71" t="s">
        <v>61</v>
      </c>
      <c r="E43" s="71" t="s">
        <v>72</v>
      </c>
      <c r="F43" s="74" t="s">
        <v>34</v>
      </c>
      <c r="G43" s="74" t="s">
        <v>213</v>
      </c>
      <c r="H43" s="74" t="s">
        <v>214</v>
      </c>
      <c r="I43" s="71"/>
      <c r="J43" s="77">
        <v>1</v>
      </c>
      <c r="K43" s="80" t="s">
        <v>11</v>
      </c>
      <c r="L43" s="76">
        <v>219100</v>
      </c>
      <c r="M43" s="72">
        <v>219100</v>
      </c>
      <c r="N43" s="81">
        <f>SUM(M43)</f>
        <v>219100</v>
      </c>
      <c r="O43" s="28"/>
    </row>
    <row r="44" spans="1:15" s="12" customFormat="1" ht="16.5" customHeight="1">
      <c r="A44" s="162" t="s">
        <v>77</v>
      </c>
      <c r="B44" s="71" t="s">
        <v>108</v>
      </c>
      <c r="C44" s="71" t="s">
        <v>45</v>
      </c>
      <c r="D44" s="71" t="s">
        <v>61</v>
      </c>
      <c r="E44" s="71" t="s">
        <v>46</v>
      </c>
      <c r="F44" s="74" t="s">
        <v>47</v>
      </c>
      <c r="G44" s="74" t="s">
        <v>114</v>
      </c>
      <c r="H44" s="74" t="s">
        <v>115</v>
      </c>
      <c r="I44" s="71"/>
      <c r="J44" s="77">
        <v>10</v>
      </c>
      <c r="K44" s="80" t="s">
        <v>67</v>
      </c>
      <c r="L44" s="76">
        <v>1000</v>
      </c>
      <c r="M44" s="72">
        <v>10000</v>
      </c>
      <c r="N44" s="159">
        <f>SUM(M44:M45)</f>
        <v>13690</v>
      </c>
      <c r="O44" s="28"/>
    </row>
    <row r="45" spans="1:15" s="12" customFormat="1" ht="16.5" customHeight="1">
      <c r="A45" s="164"/>
      <c r="B45" s="71" t="s">
        <v>111</v>
      </c>
      <c r="C45" s="71" t="s">
        <v>112</v>
      </c>
      <c r="D45" s="71" t="s">
        <v>113</v>
      </c>
      <c r="E45" s="71" t="s">
        <v>46</v>
      </c>
      <c r="F45" s="74" t="s">
        <v>47</v>
      </c>
      <c r="G45" s="74" t="s">
        <v>99</v>
      </c>
      <c r="H45" s="74" t="s">
        <v>100</v>
      </c>
      <c r="I45" s="71"/>
      <c r="J45" s="77">
        <v>1</v>
      </c>
      <c r="K45" s="80" t="s">
        <v>11</v>
      </c>
      <c r="L45" s="76">
        <v>3690</v>
      </c>
      <c r="M45" s="72">
        <v>3690</v>
      </c>
      <c r="N45" s="166"/>
      <c r="O45" s="28"/>
    </row>
    <row r="46" spans="1:15" s="12" customFormat="1" ht="16.5" customHeight="1">
      <c r="A46" s="74" t="s">
        <v>139</v>
      </c>
      <c r="B46" s="71" t="s">
        <v>177</v>
      </c>
      <c r="C46" s="71" t="s">
        <v>83</v>
      </c>
      <c r="D46" s="71" t="s">
        <v>61</v>
      </c>
      <c r="E46" s="71" t="s">
        <v>46</v>
      </c>
      <c r="F46" s="74" t="s">
        <v>47</v>
      </c>
      <c r="G46" s="74" t="s">
        <v>201</v>
      </c>
      <c r="H46" s="74" t="s">
        <v>202</v>
      </c>
      <c r="I46" s="71"/>
      <c r="J46" s="77">
        <v>50</v>
      </c>
      <c r="K46" s="80" t="s">
        <v>11</v>
      </c>
      <c r="L46" s="76">
        <v>1940</v>
      </c>
      <c r="M46" s="72">
        <v>97000</v>
      </c>
      <c r="N46" s="81">
        <f>SUM(M46)</f>
        <v>97000</v>
      </c>
      <c r="O46" s="28"/>
    </row>
    <row r="47" spans="1:15" s="12" customFormat="1" ht="16.5" customHeight="1">
      <c r="A47" s="162" t="s">
        <v>73</v>
      </c>
      <c r="B47" s="71" t="s">
        <v>131</v>
      </c>
      <c r="C47" s="71" t="s">
        <v>45</v>
      </c>
      <c r="D47" s="71" t="s">
        <v>61</v>
      </c>
      <c r="E47" s="71" t="s">
        <v>46</v>
      </c>
      <c r="F47" s="74" t="s">
        <v>47</v>
      </c>
      <c r="G47" s="74" t="s">
        <v>101</v>
      </c>
      <c r="H47" s="74" t="s">
        <v>102</v>
      </c>
      <c r="I47" s="71"/>
      <c r="J47" s="77">
        <v>400</v>
      </c>
      <c r="K47" s="80" t="s">
        <v>67</v>
      </c>
      <c r="L47" s="76">
        <v>1770</v>
      </c>
      <c r="M47" s="72">
        <v>708000</v>
      </c>
      <c r="N47" s="159">
        <f>SUM(M47:M48)</f>
        <v>1362000</v>
      </c>
      <c r="O47" s="28"/>
    </row>
    <row r="48" spans="1:15" s="12" customFormat="1" ht="16.5" customHeight="1">
      <c r="A48" s="164"/>
      <c r="B48" s="71" t="s">
        <v>131</v>
      </c>
      <c r="C48" s="71" t="s">
        <v>45</v>
      </c>
      <c r="D48" s="71" t="s">
        <v>61</v>
      </c>
      <c r="E48" s="71" t="s">
        <v>46</v>
      </c>
      <c r="F48" s="74" t="s">
        <v>47</v>
      </c>
      <c r="G48" s="74" t="s">
        <v>167</v>
      </c>
      <c r="H48" s="74" t="s">
        <v>168</v>
      </c>
      <c r="I48" s="71"/>
      <c r="J48" s="77">
        <v>300</v>
      </c>
      <c r="K48" s="80" t="s">
        <v>11</v>
      </c>
      <c r="L48" s="76">
        <v>2180</v>
      </c>
      <c r="M48" s="72">
        <v>654000</v>
      </c>
      <c r="N48" s="166"/>
      <c r="O48" s="28"/>
    </row>
    <row r="49" spans="1:15" s="12" customFormat="1" ht="16.5" customHeight="1">
      <c r="A49" s="162" t="s">
        <v>82</v>
      </c>
      <c r="B49" s="71" t="s">
        <v>215</v>
      </c>
      <c r="C49" s="71" t="s">
        <v>83</v>
      </c>
      <c r="D49" s="71" t="s">
        <v>113</v>
      </c>
      <c r="E49" s="71" t="s">
        <v>72</v>
      </c>
      <c r="F49" s="74" t="s">
        <v>34</v>
      </c>
      <c r="G49" s="74" t="s">
        <v>216</v>
      </c>
      <c r="H49" s="74" t="s">
        <v>217</v>
      </c>
      <c r="I49" s="71"/>
      <c r="J49" s="77">
        <v>6</v>
      </c>
      <c r="K49" s="80" t="s">
        <v>11</v>
      </c>
      <c r="L49" s="76">
        <v>6300</v>
      </c>
      <c r="M49" s="72">
        <v>37800</v>
      </c>
      <c r="N49" s="159">
        <f>SUM(M49:M54)</f>
        <v>2762800</v>
      </c>
      <c r="O49" s="28"/>
    </row>
    <row r="50" spans="1:15" s="12" customFormat="1" ht="16.5" customHeight="1">
      <c r="A50" s="163"/>
      <c r="B50" s="71" t="s">
        <v>218</v>
      </c>
      <c r="C50" s="71" t="s">
        <v>83</v>
      </c>
      <c r="D50" s="71" t="s">
        <v>61</v>
      </c>
      <c r="E50" s="71" t="s">
        <v>72</v>
      </c>
      <c r="F50" s="74" t="s">
        <v>229</v>
      </c>
      <c r="G50" s="74" t="s">
        <v>219</v>
      </c>
      <c r="H50" s="74" t="s">
        <v>220</v>
      </c>
      <c r="I50" s="71"/>
      <c r="J50" s="77">
        <v>8</v>
      </c>
      <c r="K50" s="80" t="s">
        <v>11</v>
      </c>
      <c r="L50" s="76">
        <v>1600</v>
      </c>
      <c r="M50" s="72">
        <v>12800</v>
      </c>
      <c r="N50" s="160"/>
      <c r="O50" s="28"/>
    </row>
    <row r="51" spans="1:15" s="12" customFormat="1" ht="16.5" customHeight="1">
      <c r="A51" s="163"/>
      <c r="B51" s="71" t="s">
        <v>218</v>
      </c>
      <c r="C51" s="71" t="s">
        <v>83</v>
      </c>
      <c r="D51" s="71" t="s">
        <v>61</v>
      </c>
      <c r="E51" s="71" t="s">
        <v>72</v>
      </c>
      <c r="F51" s="74" t="s">
        <v>229</v>
      </c>
      <c r="G51" s="74" t="s">
        <v>221</v>
      </c>
      <c r="H51" s="74" t="s">
        <v>222</v>
      </c>
      <c r="I51" s="71"/>
      <c r="J51" s="77">
        <v>8</v>
      </c>
      <c r="K51" s="80" t="s">
        <v>11</v>
      </c>
      <c r="L51" s="76">
        <v>267800</v>
      </c>
      <c r="M51" s="72">
        <v>2142400</v>
      </c>
      <c r="N51" s="160"/>
      <c r="O51" s="28"/>
    </row>
    <row r="52" spans="1:15" s="12" customFormat="1" ht="16.5" customHeight="1">
      <c r="A52" s="163"/>
      <c r="B52" s="71" t="s">
        <v>223</v>
      </c>
      <c r="C52" s="71" t="s">
        <v>45</v>
      </c>
      <c r="D52" s="71" t="s">
        <v>113</v>
      </c>
      <c r="E52" s="71" t="s">
        <v>46</v>
      </c>
      <c r="F52" s="74" t="s">
        <v>34</v>
      </c>
      <c r="G52" s="74" t="s">
        <v>143</v>
      </c>
      <c r="H52" s="74" t="s">
        <v>144</v>
      </c>
      <c r="I52" s="71"/>
      <c r="J52" s="77">
        <v>3</v>
      </c>
      <c r="K52" s="80" t="s">
        <v>11</v>
      </c>
      <c r="L52" s="76">
        <v>50600</v>
      </c>
      <c r="M52" s="72">
        <v>151800</v>
      </c>
      <c r="N52" s="160"/>
      <c r="O52" s="28"/>
    </row>
    <row r="53" spans="1:15" s="12" customFormat="1" ht="16.5" customHeight="1">
      <c r="A53" s="163"/>
      <c r="B53" s="71" t="s">
        <v>163</v>
      </c>
      <c r="C53" s="71" t="s">
        <v>112</v>
      </c>
      <c r="D53" s="71" t="s">
        <v>113</v>
      </c>
      <c r="E53" s="71" t="s">
        <v>79</v>
      </c>
      <c r="F53" s="74" t="s">
        <v>164</v>
      </c>
      <c r="G53" s="74" t="s">
        <v>165</v>
      </c>
      <c r="H53" s="74" t="s">
        <v>166</v>
      </c>
      <c r="I53" s="71"/>
      <c r="J53" s="77">
        <v>2</v>
      </c>
      <c r="K53" s="80" t="s">
        <v>11</v>
      </c>
      <c r="L53" s="76">
        <v>168500</v>
      </c>
      <c r="M53" s="72">
        <v>337000</v>
      </c>
      <c r="N53" s="160"/>
      <c r="O53" s="28"/>
    </row>
    <row r="54" spans="1:15" s="12" customFormat="1" ht="16.5" customHeight="1">
      <c r="A54" s="164"/>
      <c r="B54" s="71" t="s">
        <v>132</v>
      </c>
      <c r="C54" s="71" t="s">
        <v>45</v>
      </c>
      <c r="D54" s="71" t="s">
        <v>61</v>
      </c>
      <c r="E54" s="71" t="s">
        <v>46</v>
      </c>
      <c r="F54" s="74" t="s">
        <v>34</v>
      </c>
      <c r="G54" s="74" t="s">
        <v>88</v>
      </c>
      <c r="H54" s="74" t="s">
        <v>89</v>
      </c>
      <c r="I54" s="71"/>
      <c r="J54" s="77">
        <v>15</v>
      </c>
      <c r="K54" s="80" t="s">
        <v>11</v>
      </c>
      <c r="L54" s="76">
        <v>5400</v>
      </c>
      <c r="M54" s="72">
        <v>81000</v>
      </c>
      <c r="N54" s="166"/>
      <c r="O54" s="28"/>
    </row>
    <row r="55" spans="1:15" s="12" customFormat="1" ht="16.5" customHeight="1">
      <c r="A55" s="74" t="s">
        <v>71</v>
      </c>
      <c r="B55" s="71" t="s">
        <v>140</v>
      </c>
      <c r="C55" s="71" t="s">
        <v>112</v>
      </c>
      <c r="D55" s="71" t="s">
        <v>113</v>
      </c>
      <c r="E55" s="71" t="s">
        <v>46</v>
      </c>
      <c r="F55" s="74" t="s">
        <v>47</v>
      </c>
      <c r="G55" s="74" t="s">
        <v>161</v>
      </c>
      <c r="H55" s="74" t="s">
        <v>162</v>
      </c>
      <c r="I55" s="71"/>
      <c r="J55" s="77">
        <v>400</v>
      </c>
      <c r="K55" s="80" t="s">
        <v>67</v>
      </c>
      <c r="L55" s="76">
        <v>4040</v>
      </c>
      <c r="M55" s="72">
        <v>1616000</v>
      </c>
      <c r="N55" s="81">
        <f>SUM(M55)</f>
        <v>1616000</v>
      </c>
      <c r="O55" s="28"/>
    </row>
    <row r="56" spans="1:15" s="12" customFormat="1" ht="16.5" customHeight="1">
      <c r="A56" s="162" t="s">
        <v>74</v>
      </c>
      <c r="B56" s="71" t="s">
        <v>75</v>
      </c>
      <c r="C56" s="71" t="s">
        <v>76</v>
      </c>
      <c r="D56" s="71" t="s">
        <v>61</v>
      </c>
      <c r="E56" s="71" t="s">
        <v>46</v>
      </c>
      <c r="F56" s="74" t="s">
        <v>47</v>
      </c>
      <c r="G56" s="74" t="s">
        <v>224</v>
      </c>
      <c r="H56" s="74" t="s">
        <v>225</v>
      </c>
      <c r="I56" s="71"/>
      <c r="J56" s="77">
        <v>48</v>
      </c>
      <c r="K56" s="80" t="s">
        <v>11</v>
      </c>
      <c r="L56" s="76">
        <v>7950</v>
      </c>
      <c r="M56" s="72">
        <v>381600</v>
      </c>
      <c r="N56" s="159">
        <f>SUM(M56:M57)</f>
        <v>2196480</v>
      </c>
      <c r="O56" s="28"/>
    </row>
    <row r="57" spans="1:15" s="12" customFormat="1" ht="16.5" customHeight="1">
      <c r="A57" s="165"/>
      <c r="B57" s="71" t="s">
        <v>226</v>
      </c>
      <c r="C57" s="71" t="s">
        <v>93</v>
      </c>
      <c r="D57" s="71" t="s">
        <v>61</v>
      </c>
      <c r="E57" s="71" t="s">
        <v>72</v>
      </c>
      <c r="F57" s="74" t="s">
        <v>34</v>
      </c>
      <c r="G57" s="74" t="s">
        <v>227</v>
      </c>
      <c r="H57" s="74" t="s">
        <v>228</v>
      </c>
      <c r="I57" s="71"/>
      <c r="J57" s="77">
        <v>114</v>
      </c>
      <c r="K57" s="80" t="s">
        <v>11</v>
      </c>
      <c r="L57" s="76">
        <v>15920</v>
      </c>
      <c r="M57" s="72">
        <v>1814880</v>
      </c>
      <c r="N57" s="161"/>
      <c r="O57" s="28"/>
    </row>
    <row r="58" spans="1:15" s="12" customFormat="1" ht="15" customHeight="1">
      <c r="A58" s="83" t="str">
        <f ca="1">MID(CELL("filename",$A$1),FIND("]",CELL("filename",$A$1))+1,100)&amp;" TOTAL"</f>
        <v>2025.12.1(MON) TOTAL</v>
      </c>
      <c r="B58" s="84"/>
      <c r="C58" s="84"/>
      <c r="D58" s="84"/>
      <c r="E58" s="84"/>
      <c r="F58" s="84"/>
      <c r="G58" s="92"/>
      <c r="H58" s="92"/>
      <c r="I58" s="84"/>
      <c r="J58" s="84"/>
      <c r="K58" s="149"/>
      <c r="L58" s="85"/>
      <c r="M58" s="19">
        <f>SUM(M37:M57)</f>
        <v>11520710</v>
      </c>
      <c r="N58" s="44">
        <f>SUM(N37:N57)</f>
        <v>11520710</v>
      </c>
      <c r="O58" s="28"/>
    </row>
    <row r="59" spans="1:15" ht="15.75" customHeight="1">
      <c r="A59" s="51"/>
      <c r="B59" s="52"/>
      <c r="C59" s="52"/>
      <c r="D59" s="52"/>
      <c r="E59" s="52"/>
      <c r="F59" s="52"/>
      <c r="G59" s="52"/>
      <c r="H59" s="29"/>
      <c r="I59" s="52"/>
      <c r="J59" s="52"/>
      <c r="K59" s="52"/>
      <c r="L59" s="53"/>
      <c r="M59" s="54"/>
      <c r="N59" s="53"/>
    </row>
    <row r="60" spans="1:15" ht="20.25" hidden="1" customHeight="1">
      <c r="A60" s="31" t="s">
        <v>70</v>
      </c>
      <c r="B60" s="32"/>
      <c r="C60" s="55"/>
      <c r="D60" s="55"/>
      <c r="E60" s="55"/>
      <c r="F60" s="55"/>
      <c r="G60" s="55"/>
      <c r="H60" s="30"/>
      <c r="I60" s="55"/>
      <c r="J60" s="55"/>
      <c r="K60" s="10"/>
      <c r="L60" s="56"/>
      <c r="M60" s="10"/>
      <c r="N60" s="56"/>
    </row>
    <row r="61" spans="1:15" ht="16.5" hidden="1" customHeight="1">
      <c r="A61" s="31"/>
      <c r="B61" s="32"/>
      <c r="C61" s="55"/>
      <c r="D61" s="55"/>
      <c r="E61" s="55"/>
      <c r="F61" s="55"/>
      <c r="G61" s="55"/>
      <c r="H61" s="30"/>
      <c r="I61" s="55"/>
      <c r="J61" s="55"/>
      <c r="K61" s="10"/>
      <c r="L61" s="56"/>
      <c r="M61" s="10"/>
      <c r="N61" s="56"/>
    </row>
    <row r="62" spans="1:15" ht="16.5" customHeight="1">
      <c r="A62" s="33" t="s">
        <v>25</v>
      </c>
      <c r="B62" s="20"/>
      <c r="C62" s="20"/>
      <c r="D62" s="51"/>
      <c r="E62" s="20"/>
      <c r="F62" s="20"/>
      <c r="G62" s="20"/>
      <c r="H62" s="134"/>
      <c r="I62" s="43"/>
      <c r="J62" s="43"/>
      <c r="K62" s="43"/>
      <c r="L62" s="43"/>
      <c r="M62" s="22"/>
      <c r="N62" s="57"/>
    </row>
    <row r="63" spans="1:15" s="36" customFormat="1" ht="16.5" customHeight="1">
      <c r="A63" s="34" t="s">
        <v>13</v>
      </c>
      <c r="B63" s="34" t="s">
        <v>26</v>
      </c>
      <c r="C63" s="34" t="s">
        <v>27</v>
      </c>
      <c r="D63" s="34" t="s">
        <v>28</v>
      </c>
      <c r="E63" s="34" t="s">
        <v>17</v>
      </c>
      <c r="F63" s="34" t="s">
        <v>29</v>
      </c>
      <c r="G63" s="34" t="s">
        <v>19</v>
      </c>
      <c r="H63" s="34" t="s">
        <v>20</v>
      </c>
      <c r="I63" s="34" t="s">
        <v>21</v>
      </c>
      <c r="J63" s="34" t="s">
        <v>30</v>
      </c>
      <c r="K63" s="34" t="s">
        <v>31</v>
      </c>
      <c r="L63" s="35" t="s">
        <v>32</v>
      </c>
      <c r="M63" s="35" t="s">
        <v>33</v>
      </c>
      <c r="N63" s="133"/>
      <c r="O63" s="37"/>
    </row>
    <row r="64" spans="1:15" ht="16.5" customHeight="1">
      <c r="A64" s="181" t="s">
        <v>149</v>
      </c>
      <c r="B64" s="182" t="s">
        <v>149</v>
      </c>
      <c r="C64" s="113"/>
      <c r="D64" s="71" t="s">
        <v>113</v>
      </c>
      <c r="E64" s="71" t="s">
        <v>154</v>
      </c>
      <c r="F64" s="74" t="s">
        <v>34</v>
      </c>
      <c r="G64" s="74" t="s">
        <v>150</v>
      </c>
      <c r="H64" s="74" t="s">
        <v>151</v>
      </c>
      <c r="I64" s="75">
        <v>100</v>
      </c>
      <c r="J64" s="150">
        <v>656</v>
      </c>
      <c r="K64" s="150">
        <f>I64*J64</f>
        <v>65600</v>
      </c>
      <c r="L64" s="184">
        <f>SUM(K64:K65)</f>
        <v>385600</v>
      </c>
      <c r="M64" s="38"/>
      <c r="N64" s="138"/>
    </row>
    <row r="65" spans="1:15" ht="16.5" customHeight="1">
      <c r="A65" s="165"/>
      <c r="B65" s="183"/>
      <c r="C65" s="113"/>
      <c r="D65" s="71" t="s">
        <v>113</v>
      </c>
      <c r="E65" s="71" t="s">
        <v>154</v>
      </c>
      <c r="F65" s="74" t="s">
        <v>34</v>
      </c>
      <c r="G65" s="74" t="s">
        <v>152</v>
      </c>
      <c r="H65" s="74" t="s">
        <v>153</v>
      </c>
      <c r="I65" s="72">
        <v>2000</v>
      </c>
      <c r="J65" s="150">
        <v>160</v>
      </c>
      <c r="K65" s="150">
        <f>I65*J65</f>
        <v>320000</v>
      </c>
      <c r="L65" s="185"/>
      <c r="M65" s="38"/>
      <c r="N65" s="138"/>
    </row>
    <row r="66" spans="1:15" ht="16.5" customHeight="1">
      <c r="A66" s="170" t="str">
        <f ca="1">A58</f>
        <v>2025.12.1(MON) TOTAL</v>
      </c>
      <c r="B66" s="171"/>
      <c r="C66" s="171"/>
      <c r="D66" s="171"/>
      <c r="E66" s="171"/>
      <c r="F66" s="171"/>
      <c r="G66" s="171"/>
      <c r="H66" s="171"/>
      <c r="I66" s="171"/>
      <c r="J66" s="172"/>
      <c r="K66" s="58">
        <f>SUM(K64:K65)</f>
        <v>385600</v>
      </c>
      <c r="L66" s="143">
        <f>SUM(L64)</f>
        <v>385600</v>
      </c>
      <c r="M66" s="13"/>
      <c r="N66" s="138"/>
    </row>
    <row r="67" spans="1:15" ht="16.5" hidden="1" customHeight="1">
      <c r="A67" s="51"/>
      <c r="B67" s="20"/>
      <c r="C67" s="20"/>
      <c r="D67" s="51"/>
      <c r="E67" s="20"/>
      <c r="F67" s="20"/>
      <c r="G67" s="20"/>
      <c r="H67" s="134"/>
      <c r="I67" s="43"/>
      <c r="J67" s="43"/>
      <c r="K67" s="43"/>
      <c r="L67" s="43"/>
      <c r="M67" s="22"/>
      <c r="N67" s="57"/>
    </row>
    <row r="68" spans="1:15" s="36" customFormat="1" ht="16.5" hidden="1" customHeight="1">
      <c r="A68" s="34" t="s">
        <v>13</v>
      </c>
      <c r="B68" s="34" t="s">
        <v>26</v>
      </c>
      <c r="C68" s="34" t="s">
        <v>27</v>
      </c>
      <c r="D68" s="34" t="s">
        <v>28</v>
      </c>
      <c r="E68" s="34" t="s">
        <v>17</v>
      </c>
      <c r="F68" s="34" t="s">
        <v>35</v>
      </c>
      <c r="G68" s="34" t="s">
        <v>19</v>
      </c>
      <c r="H68" s="34" t="s">
        <v>20</v>
      </c>
      <c r="I68" s="35" t="s">
        <v>21</v>
      </c>
      <c r="J68" s="35" t="s">
        <v>36</v>
      </c>
      <c r="K68" s="40" t="s">
        <v>37</v>
      </c>
      <c r="L68" s="41" t="s">
        <v>38</v>
      </c>
      <c r="M68" s="40" t="s">
        <v>39</v>
      </c>
      <c r="N68" s="133"/>
      <c r="O68" s="37"/>
    </row>
    <row r="69" spans="1:15" s="36" customFormat="1" ht="16.5" hidden="1" customHeight="1">
      <c r="A69" s="97"/>
      <c r="B69" s="105"/>
      <c r="C69" s="104"/>
      <c r="D69" s="39"/>
      <c r="E69" s="71"/>
      <c r="F69" s="74"/>
      <c r="G69" s="108"/>
      <c r="H69" s="108"/>
      <c r="I69" s="109"/>
      <c r="J69" s="110"/>
      <c r="K69" s="111"/>
      <c r="L69" s="173"/>
      <c r="M69" s="42"/>
      <c r="N69" s="133"/>
      <c r="O69" s="37"/>
    </row>
    <row r="70" spans="1:15" s="36" customFormat="1" ht="16.5" hidden="1" customHeight="1">
      <c r="A70" s="82"/>
      <c r="B70" s="106"/>
      <c r="C70" s="104"/>
      <c r="D70" s="39"/>
      <c r="E70" s="71"/>
      <c r="F70" s="74"/>
      <c r="G70" s="94"/>
      <c r="H70" s="95"/>
      <c r="I70" s="96"/>
      <c r="J70" s="96"/>
      <c r="K70" s="96"/>
      <c r="L70" s="174"/>
      <c r="M70" s="42"/>
      <c r="N70" s="133"/>
      <c r="O70" s="37"/>
    </row>
    <row r="71" spans="1:15" s="36" customFormat="1" ht="16.5" hidden="1" customHeight="1">
      <c r="A71" s="82"/>
      <c r="B71" s="106"/>
      <c r="C71" s="104"/>
      <c r="D71" s="39"/>
      <c r="E71" s="71"/>
      <c r="F71" s="74"/>
      <c r="G71" s="94"/>
      <c r="H71" s="95"/>
      <c r="I71" s="96"/>
      <c r="J71" s="96"/>
      <c r="K71" s="96"/>
      <c r="L71" s="174"/>
      <c r="M71" s="42"/>
      <c r="N71" s="133"/>
      <c r="O71" s="37"/>
    </row>
    <row r="72" spans="1:15" s="36" customFormat="1" ht="16.5" hidden="1" customHeight="1">
      <c r="A72" s="86"/>
      <c r="B72" s="107"/>
      <c r="C72" s="104"/>
      <c r="D72" s="39"/>
      <c r="E72" s="71"/>
      <c r="F72" s="74"/>
      <c r="G72" s="94"/>
      <c r="H72" s="95"/>
      <c r="I72" s="96"/>
      <c r="J72" s="96"/>
      <c r="K72" s="96"/>
      <c r="L72" s="175"/>
      <c r="M72" s="42"/>
      <c r="N72" s="133"/>
      <c r="O72" s="37"/>
    </row>
    <row r="73" spans="1:15" ht="16.5" hidden="1" customHeight="1">
      <c r="A73" s="176" t="str">
        <f ca="1">A58</f>
        <v>2025.12.1(MON) TOTAL</v>
      </c>
      <c r="B73" s="177"/>
      <c r="C73" s="177"/>
      <c r="D73" s="177"/>
      <c r="E73" s="177"/>
      <c r="F73" s="177"/>
      <c r="G73" s="177"/>
      <c r="H73" s="177"/>
      <c r="I73" s="177"/>
      <c r="J73" s="178"/>
      <c r="K73" s="59">
        <f>SUM(K69:K72)</f>
        <v>0</v>
      </c>
      <c r="L73" s="59">
        <f>SUM(L69)</f>
        <v>0</v>
      </c>
      <c r="M73" s="60"/>
      <c r="N73" s="138"/>
    </row>
    <row r="74" spans="1:15" s="4" customFormat="1" ht="16.149999999999999" hidden="1" customHeight="1">
      <c r="A74" s="61"/>
      <c r="B74" s="62"/>
      <c r="C74" s="63"/>
      <c r="D74" s="63"/>
      <c r="E74" s="62"/>
      <c r="F74" s="62"/>
      <c r="G74" s="62"/>
      <c r="H74" s="134"/>
      <c r="I74" s="43"/>
      <c r="J74" s="43"/>
      <c r="K74" s="43"/>
      <c r="L74" s="43"/>
      <c r="M74" s="64"/>
      <c r="N74" s="57"/>
      <c r="O74" s="26"/>
    </row>
    <row r="75" spans="1:15" s="4" customFormat="1" ht="0.75" hidden="1" customHeight="1">
      <c r="A75" s="61"/>
      <c r="B75" s="62"/>
      <c r="C75" s="63"/>
      <c r="D75" s="63"/>
      <c r="E75" s="62"/>
      <c r="F75" s="62"/>
      <c r="G75" s="62"/>
      <c r="H75" s="134"/>
      <c r="I75" s="43"/>
      <c r="J75" s="43"/>
      <c r="K75" s="43"/>
      <c r="L75" s="43"/>
      <c r="M75" s="64"/>
      <c r="N75" s="57"/>
      <c r="O75" s="26"/>
    </row>
    <row r="76" spans="1:15" s="4" customFormat="1" ht="15.75" hidden="1" customHeight="1">
      <c r="A76" s="61"/>
      <c r="B76" s="62"/>
      <c r="C76" s="63"/>
      <c r="D76" s="63"/>
      <c r="E76" s="62"/>
      <c r="F76" s="62"/>
      <c r="G76" s="62"/>
      <c r="H76" s="134"/>
      <c r="I76" s="43"/>
      <c r="J76" s="43"/>
      <c r="K76" s="43"/>
      <c r="L76" s="43"/>
      <c r="M76" s="64"/>
      <c r="N76" s="57"/>
      <c r="O76" s="26"/>
    </row>
    <row r="77" spans="1:15" s="4" customFormat="1" ht="15.75" hidden="1" customHeight="1">
      <c r="A77" s="61"/>
      <c r="B77" s="62"/>
      <c r="C77" s="63"/>
      <c r="D77" s="63"/>
      <c r="E77" s="62"/>
      <c r="F77" s="62"/>
      <c r="G77" s="62"/>
      <c r="H77" s="134"/>
      <c r="I77" s="43"/>
      <c r="J77" s="43"/>
      <c r="K77" s="43"/>
      <c r="L77" s="43"/>
      <c r="M77" s="64"/>
      <c r="N77" s="57"/>
      <c r="O77" s="26"/>
    </row>
    <row r="78" spans="1:15" s="4" customFormat="1" ht="15" hidden="1" customHeight="1">
      <c r="A78" s="43" t="s">
        <v>69</v>
      </c>
      <c r="B78" s="65"/>
      <c r="C78" s="66"/>
      <c r="D78" s="66"/>
      <c r="E78" s="65"/>
      <c r="F78" s="66"/>
      <c r="G78" s="65"/>
      <c r="H78" s="135"/>
      <c r="I78" s="66"/>
      <c r="J78" s="66"/>
      <c r="K78" s="66"/>
      <c r="L78" s="66"/>
      <c r="M78" s="67"/>
      <c r="N78" s="139"/>
      <c r="O78" s="26"/>
    </row>
    <row r="79" spans="1:15" s="4" customFormat="1" ht="15" hidden="1" customHeight="1">
      <c r="A79" s="43"/>
      <c r="B79" s="65"/>
      <c r="C79" s="66"/>
      <c r="D79" s="66"/>
      <c r="E79" s="65"/>
      <c r="F79" s="66"/>
      <c r="G79" s="65"/>
      <c r="H79" s="135"/>
      <c r="I79" s="66"/>
      <c r="J79" s="66"/>
      <c r="K79" s="66"/>
      <c r="L79" s="66"/>
      <c r="M79" s="67"/>
      <c r="N79" s="139"/>
      <c r="O79" s="26"/>
    </row>
    <row r="80" spans="1:15" s="4" customFormat="1" ht="15" hidden="1" customHeight="1">
      <c r="A80" s="43"/>
      <c r="B80" s="65"/>
      <c r="C80" s="66"/>
      <c r="D80" s="66"/>
      <c r="E80" s="65"/>
      <c r="F80" s="66"/>
      <c r="G80" s="65"/>
      <c r="H80" s="135"/>
      <c r="I80" s="66"/>
      <c r="J80" s="66"/>
      <c r="K80" s="66"/>
      <c r="L80" s="66"/>
      <c r="M80" s="67"/>
      <c r="N80" s="139"/>
      <c r="O80" s="26"/>
    </row>
    <row r="81" spans="1:15" s="4" customFormat="1" ht="15" hidden="1" customHeight="1">
      <c r="A81" s="43"/>
      <c r="B81" s="65"/>
      <c r="C81" s="66"/>
      <c r="D81" s="66"/>
      <c r="E81" s="65"/>
      <c r="F81" s="66"/>
      <c r="G81" s="65"/>
      <c r="H81" s="135"/>
      <c r="I81" s="66"/>
      <c r="J81" s="66"/>
      <c r="K81" s="66"/>
      <c r="L81" s="66"/>
      <c r="M81" s="67"/>
      <c r="N81" s="139"/>
      <c r="O81" s="26"/>
    </row>
    <row r="82" spans="1:15" s="4" customFormat="1" ht="15" customHeight="1">
      <c r="A82" s="43"/>
      <c r="B82" s="65"/>
      <c r="C82" s="66"/>
      <c r="D82" s="66"/>
      <c r="E82" s="65"/>
      <c r="F82" s="66"/>
      <c r="G82" s="65"/>
      <c r="H82" s="135"/>
      <c r="I82" s="66"/>
      <c r="J82" s="66"/>
      <c r="K82" s="66"/>
      <c r="L82" s="66"/>
      <c r="M82" s="67"/>
      <c r="N82" s="139"/>
      <c r="O82" s="26"/>
    </row>
    <row r="83" spans="1:15" ht="15" customHeight="1">
      <c r="A83" s="179" t="s">
        <v>40</v>
      </c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</row>
    <row r="84" spans="1:15" s="12" customFormat="1" ht="16.5" customHeight="1">
      <c r="A84" s="13" t="s">
        <v>41</v>
      </c>
      <c r="B84" s="13" t="s">
        <v>26</v>
      </c>
      <c r="C84" s="13" t="s">
        <v>27</v>
      </c>
      <c r="D84" s="13" t="s">
        <v>42</v>
      </c>
      <c r="E84" s="13" t="s">
        <v>17</v>
      </c>
      <c r="F84" s="13" t="s">
        <v>43</v>
      </c>
      <c r="G84" s="13" t="s">
        <v>19</v>
      </c>
      <c r="H84" s="34" t="s">
        <v>20</v>
      </c>
      <c r="I84" s="112" t="s">
        <v>21</v>
      </c>
      <c r="J84" s="112" t="s">
        <v>22</v>
      </c>
      <c r="K84" s="40" t="s">
        <v>44</v>
      </c>
      <c r="L84" s="41" t="s">
        <v>24</v>
      </c>
      <c r="M84" s="180" t="s">
        <v>39</v>
      </c>
      <c r="N84" s="180"/>
      <c r="O84" s="28"/>
    </row>
    <row r="85" spans="1:15" ht="16.5" customHeight="1">
      <c r="A85" s="181" t="s">
        <v>127</v>
      </c>
      <c r="B85" s="71" t="s">
        <v>159</v>
      </c>
      <c r="C85" s="71" t="s">
        <v>45</v>
      </c>
      <c r="D85" s="71" t="s">
        <v>61</v>
      </c>
      <c r="E85" s="71" t="s">
        <v>46</v>
      </c>
      <c r="F85" s="74" t="s">
        <v>47</v>
      </c>
      <c r="G85" s="74" t="s">
        <v>187</v>
      </c>
      <c r="H85" s="74" t="s">
        <v>188</v>
      </c>
      <c r="I85" s="75">
        <v>20</v>
      </c>
      <c r="J85" s="72">
        <v>1090</v>
      </c>
      <c r="K85" s="72">
        <v>21800</v>
      </c>
      <c r="L85" s="197">
        <f>SUM(K85:K88)</f>
        <v>96840</v>
      </c>
      <c r="M85" s="152"/>
      <c r="N85" s="140"/>
    </row>
    <row r="86" spans="1:15" ht="16.5" customHeight="1">
      <c r="A86" s="163"/>
      <c r="B86" s="71" t="s">
        <v>209</v>
      </c>
      <c r="C86" s="71" t="s">
        <v>45</v>
      </c>
      <c r="D86" s="71" t="s">
        <v>61</v>
      </c>
      <c r="E86" s="71" t="s">
        <v>46</v>
      </c>
      <c r="F86" s="74" t="s">
        <v>47</v>
      </c>
      <c r="G86" s="74" t="s">
        <v>185</v>
      </c>
      <c r="H86" s="74" t="s">
        <v>186</v>
      </c>
      <c r="I86" s="75">
        <v>8</v>
      </c>
      <c r="J86" s="72">
        <v>3580</v>
      </c>
      <c r="K86" s="72">
        <v>28640</v>
      </c>
      <c r="L86" s="160"/>
      <c r="M86" s="152"/>
      <c r="N86" s="140"/>
    </row>
    <row r="87" spans="1:15" ht="16.5" customHeight="1">
      <c r="A87" s="163"/>
      <c r="B87" s="71" t="s">
        <v>209</v>
      </c>
      <c r="C87" s="71" t="s">
        <v>45</v>
      </c>
      <c r="D87" s="71" t="s">
        <v>61</v>
      </c>
      <c r="E87" s="71" t="s">
        <v>46</v>
      </c>
      <c r="F87" s="74" t="s">
        <v>47</v>
      </c>
      <c r="G87" s="74" t="s">
        <v>147</v>
      </c>
      <c r="H87" s="74" t="s">
        <v>148</v>
      </c>
      <c r="I87" s="75">
        <v>8</v>
      </c>
      <c r="J87" s="72">
        <v>3150</v>
      </c>
      <c r="K87" s="72">
        <v>25200</v>
      </c>
      <c r="L87" s="160"/>
      <c r="M87" s="152"/>
      <c r="N87" s="140"/>
    </row>
    <row r="88" spans="1:15" ht="16.5" customHeight="1">
      <c r="A88" s="164"/>
      <c r="B88" s="71" t="s">
        <v>209</v>
      </c>
      <c r="C88" s="71" t="s">
        <v>45</v>
      </c>
      <c r="D88" s="71" t="s">
        <v>61</v>
      </c>
      <c r="E88" s="71" t="s">
        <v>46</v>
      </c>
      <c r="F88" s="74" t="s">
        <v>47</v>
      </c>
      <c r="G88" s="74" t="s">
        <v>114</v>
      </c>
      <c r="H88" s="74" t="s">
        <v>115</v>
      </c>
      <c r="I88" s="75">
        <v>8</v>
      </c>
      <c r="J88" s="72">
        <v>2650</v>
      </c>
      <c r="K88" s="72">
        <v>21200</v>
      </c>
      <c r="L88" s="166"/>
      <c r="M88" s="152"/>
      <c r="N88" s="140"/>
    </row>
    <row r="89" spans="1:15" ht="16.5" customHeight="1">
      <c r="A89" s="74" t="s">
        <v>98</v>
      </c>
      <c r="B89" s="71" t="s">
        <v>195</v>
      </c>
      <c r="C89" s="71" t="s">
        <v>196</v>
      </c>
      <c r="D89" s="71" t="s">
        <v>61</v>
      </c>
      <c r="E89" s="71" t="s">
        <v>46</v>
      </c>
      <c r="F89" s="74" t="s">
        <v>34</v>
      </c>
      <c r="G89" s="74" t="s">
        <v>175</v>
      </c>
      <c r="H89" s="74" t="s">
        <v>176</v>
      </c>
      <c r="I89" s="75">
        <v>1</v>
      </c>
      <c r="J89" s="72">
        <v>135800</v>
      </c>
      <c r="K89" s="72">
        <v>135800</v>
      </c>
      <c r="L89" s="81">
        <f>SUM(K89)</f>
        <v>135800</v>
      </c>
      <c r="M89" s="152"/>
      <c r="N89" s="140"/>
    </row>
    <row r="90" spans="1:15" ht="16.5" customHeight="1">
      <c r="A90" s="162" t="s">
        <v>77</v>
      </c>
      <c r="B90" s="71" t="s">
        <v>104</v>
      </c>
      <c r="C90" s="71" t="s">
        <v>105</v>
      </c>
      <c r="D90" s="71" t="s">
        <v>78</v>
      </c>
      <c r="E90" s="71" t="s">
        <v>46</v>
      </c>
      <c r="F90" s="74" t="s">
        <v>47</v>
      </c>
      <c r="G90" s="74" t="s">
        <v>90</v>
      </c>
      <c r="H90" s="74" t="s">
        <v>91</v>
      </c>
      <c r="I90" s="75">
        <v>100</v>
      </c>
      <c r="J90" s="72">
        <v>3550</v>
      </c>
      <c r="K90" s="72">
        <v>355000</v>
      </c>
      <c r="L90" s="159">
        <f>SUM(K90:K101)</f>
        <v>2392570</v>
      </c>
      <c r="M90" s="152"/>
      <c r="N90" s="140"/>
    </row>
    <row r="91" spans="1:15" ht="16.5" customHeight="1">
      <c r="A91" s="163"/>
      <c r="B91" s="71" t="s">
        <v>104</v>
      </c>
      <c r="C91" s="71" t="s">
        <v>105</v>
      </c>
      <c r="D91" s="71" t="s">
        <v>78</v>
      </c>
      <c r="E91" s="71" t="s">
        <v>46</v>
      </c>
      <c r="F91" s="74" t="s">
        <v>34</v>
      </c>
      <c r="G91" s="74" t="s">
        <v>121</v>
      </c>
      <c r="H91" s="74" t="s">
        <v>122</v>
      </c>
      <c r="I91" s="75">
        <v>1</v>
      </c>
      <c r="J91" s="72">
        <v>50600</v>
      </c>
      <c r="K91" s="72">
        <v>50600</v>
      </c>
      <c r="L91" s="160"/>
      <c r="M91" s="152"/>
      <c r="N91" s="140"/>
    </row>
    <row r="92" spans="1:15" ht="16.5" customHeight="1">
      <c r="A92" s="163"/>
      <c r="B92" s="71" t="s">
        <v>106</v>
      </c>
      <c r="C92" s="71" t="s">
        <v>107</v>
      </c>
      <c r="D92" s="71" t="s">
        <v>61</v>
      </c>
      <c r="E92" s="71" t="s">
        <v>46</v>
      </c>
      <c r="F92" s="74" t="s">
        <v>47</v>
      </c>
      <c r="G92" s="74" t="s">
        <v>183</v>
      </c>
      <c r="H92" s="74" t="s">
        <v>184</v>
      </c>
      <c r="I92" s="75">
        <v>120</v>
      </c>
      <c r="J92" s="72">
        <v>4200</v>
      </c>
      <c r="K92" s="72">
        <v>504000</v>
      </c>
      <c r="L92" s="160"/>
      <c r="M92" s="152"/>
      <c r="N92" s="140"/>
    </row>
    <row r="93" spans="1:15" ht="16.5" customHeight="1">
      <c r="A93" s="163"/>
      <c r="B93" s="71" t="s">
        <v>123</v>
      </c>
      <c r="C93" s="71" t="s">
        <v>45</v>
      </c>
      <c r="D93" s="71" t="s">
        <v>78</v>
      </c>
      <c r="E93" s="71" t="s">
        <v>46</v>
      </c>
      <c r="F93" s="74" t="s">
        <v>47</v>
      </c>
      <c r="G93" s="74" t="s">
        <v>84</v>
      </c>
      <c r="H93" s="74" t="s">
        <v>85</v>
      </c>
      <c r="I93" s="75">
        <v>45</v>
      </c>
      <c r="J93" s="72">
        <v>1910</v>
      </c>
      <c r="K93" s="72">
        <v>85950</v>
      </c>
      <c r="L93" s="160"/>
      <c r="M93" s="152"/>
      <c r="N93" s="140"/>
    </row>
    <row r="94" spans="1:15" ht="16.5" customHeight="1">
      <c r="A94" s="163"/>
      <c r="B94" s="71" t="s">
        <v>108</v>
      </c>
      <c r="C94" s="71" t="s">
        <v>45</v>
      </c>
      <c r="D94" s="71" t="s">
        <v>61</v>
      </c>
      <c r="E94" s="71" t="s">
        <v>81</v>
      </c>
      <c r="F94" s="74" t="s">
        <v>47</v>
      </c>
      <c r="G94" s="74" t="s">
        <v>145</v>
      </c>
      <c r="H94" s="74" t="s">
        <v>146</v>
      </c>
      <c r="I94" s="75">
        <v>50</v>
      </c>
      <c r="J94" s="72">
        <v>1200</v>
      </c>
      <c r="K94" s="72">
        <v>60000</v>
      </c>
      <c r="L94" s="160"/>
      <c r="M94" s="152"/>
      <c r="N94" s="140"/>
    </row>
    <row r="95" spans="1:15" ht="16.5" customHeight="1">
      <c r="A95" s="163"/>
      <c r="B95" s="71" t="s">
        <v>108</v>
      </c>
      <c r="C95" s="71" t="s">
        <v>45</v>
      </c>
      <c r="D95" s="71" t="s">
        <v>61</v>
      </c>
      <c r="E95" s="71" t="s">
        <v>81</v>
      </c>
      <c r="F95" s="74" t="s">
        <v>47</v>
      </c>
      <c r="G95" s="74" t="s">
        <v>114</v>
      </c>
      <c r="H95" s="74" t="s">
        <v>115</v>
      </c>
      <c r="I95" s="75">
        <v>82</v>
      </c>
      <c r="J95" s="72">
        <v>1000</v>
      </c>
      <c r="K95" s="72">
        <v>82000</v>
      </c>
      <c r="L95" s="160"/>
      <c r="M95" s="152"/>
      <c r="N95" s="140"/>
    </row>
    <row r="96" spans="1:15" ht="16.5" customHeight="1">
      <c r="A96" s="163"/>
      <c r="B96" s="71" t="s">
        <v>111</v>
      </c>
      <c r="C96" s="71" t="s">
        <v>112</v>
      </c>
      <c r="D96" s="71" t="s">
        <v>113</v>
      </c>
      <c r="E96" s="71" t="s">
        <v>46</v>
      </c>
      <c r="F96" s="74" t="s">
        <v>47</v>
      </c>
      <c r="G96" s="74" t="s">
        <v>185</v>
      </c>
      <c r="H96" s="74" t="s">
        <v>186</v>
      </c>
      <c r="I96" s="75">
        <v>20</v>
      </c>
      <c r="J96" s="72">
        <v>3580</v>
      </c>
      <c r="K96" s="72">
        <v>71600</v>
      </c>
      <c r="L96" s="160"/>
      <c r="M96" s="152"/>
      <c r="N96" s="140"/>
    </row>
    <row r="97" spans="1:14" ht="16.5" customHeight="1">
      <c r="A97" s="163"/>
      <c r="B97" s="71" t="s">
        <v>106</v>
      </c>
      <c r="C97" s="71" t="s">
        <v>107</v>
      </c>
      <c r="D97" s="71" t="s">
        <v>61</v>
      </c>
      <c r="E97" s="71" t="s">
        <v>46</v>
      </c>
      <c r="F97" s="74" t="s">
        <v>47</v>
      </c>
      <c r="G97" s="74" t="s">
        <v>137</v>
      </c>
      <c r="H97" s="74" t="s">
        <v>138</v>
      </c>
      <c r="I97" s="75">
        <v>20</v>
      </c>
      <c r="J97" s="72">
        <v>3430</v>
      </c>
      <c r="K97" s="72">
        <v>68600</v>
      </c>
      <c r="L97" s="160"/>
      <c r="M97" s="152"/>
      <c r="N97" s="140"/>
    </row>
    <row r="98" spans="1:14" ht="16.5" customHeight="1">
      <c r="A98" s="163"/>
      <c r="B98" s="71" t="s">
        <v>109</v>
      </c>
      <c r="C98" s="71" t="s">
        <v>110</v>
      </c>
      <c r="D98" s="71" t="s">
        <v>78</v>
      </c>
      <c r="E98" s="71" t="s">
        <v>46</v>
      </c>
      <c r="F98" s="74" t="s">
        <v>47</v>
      </c>
      <c r="G98" s="74" t="s">
        <v>117</v>
      </c>
      <c r="H98" s="74" t="s">
        <v>118</v>
      </c>
      <c r="I98" s="75">
        <v>50</v>
      </c>
      <c r="J98" s="72">
        <v>1300</v>
      </c>
      <c r="K98" s="72">
        <v>65000</v>
      </c>
      <c r="L98" s="160"/>
      <c r="M98" s="152"/>
      <c r="N98" s="140"/>
    </row>
    <row r="99" spans="1:14" ht="16.5" customHeight="1">
      <c r="A99" s="163"/>
      <c r="B99" s="71" t="s">
        <v>109</v>
      </c>
      <c r="C99" s="71" t="s">
        <v>110</v>
      </c>
      <c r="D99" s="71" t="s">
        <v>78</v>
      </c>
      <c r="E99" s="71" t="s">
        <v>46</v>
      </c>
      <c r="F99" s="74" t="s">
        <v>47</v>
      </c>
      <c r="G99" s="74" t="s">
        <v>197</v>
      </c>
      <c r="H99" s="74" t="s">
        <v>198</v>
      </c>
      <c r="I99" s="75">
        <v>30</v>
      </c>
      <c r="J99" s="72">
        <v>5850</v>
      </c>
      <c r="K99" s="72">
        <v>175500</v>
      </c>
      <c r="L99" s="160"/>
      <c r="M99" s="152"/>
      <c r="N99" s="140"/>
    </row>
    <row r="100" spans="1:14" ht="16.5" customHeight="1">
      <c r="A100" s="163"/>
      <c r="B100" s="71" t="s">
        <v>104</v>
      </c>
      <c r="C100" s="71" t="s">
        <v>105</v>
      </c>
      <c r="D100" s="71" t="s">
        <v>78</v>
      </c>
      <c r="E100" s="71" t="s">
        <v>46</v>
      </c>
      <c r="F100" s="74" t="s">
        <v>47</v>
      </c>
      <c r="G100" s="74" t="s">
        <v>171</v>
      </c>
      <c r="H100" s="74" t="s">
        <v>172</v>
      </c>
      <c r="I100" s="75">
        <v>144</v>
      </c>
      <c r="J100" s="72">
        <v>3420</v>
      </c>
      <c r="K100" s="72">
        <v>492480</v>
      </c>
      <c r="L100" s="160"/>
      <c r="M100" s="152"/>
      <c r="N100" s="140"/>
    </row>
    <row r="101" spans="1:14" ht="16.5" customHeight="1">
      <c r="A101" s="164"/>
      <c r="B101" s="71" t="s">
        <v>104</v>
      </c>
      <c r="C101" s="71" t="s">
        <v>105</v>
      </c>
      <c r="D101" s="71" t="s">
        <v>78</v>
      </c>
      <c r="E101" s="71" t="s">
        <v>46</v>
      </c>
      <c r="F101" s="74" t="s">
        <v>47</v>
      </c>
      <c r="G101" s="74" t="s">
        <v>169</v>
      </c>
      <c r="H101" s="74" t="s">
        <v>170</v>
      </c>
      <c r="I101" s="75">
        <v>86</v>
      </c>
      <c r="J101" s="72">
        <v>4440</v>
      </c>
      <c r="K101" s="72">
        <v>381840</v>
      </c>
      <c r="L101" s="166"/>
      <c r="M101" s="152"/>
      <c r="N101" s="140"/>
    </row>
    <row r="102" spans="1:14" ht="16.5" customHeight="1">
      <c r="A102" s="74" t="s">
        <v>136</v>
      </c>
      <c r="B102" s="71" t="s">
        <v>155</v>
      </c>
      <c r="C102" s="71" t="s">
        <v>156</v>
      </c>
      <c r="D102" s="71" t="s">
        <v>61</v>
      </c>
      <c r="E102" s="71" t="s">
        <v>46</v>
      </c>
      <c r="F102" s="74" t="s">
        <v>47</v>
      </c>
      <c r="G102" s="74" t="s">
        <v>90</v>
      </c>
      <c r="H102" s="74" t="s">
        <v>91</v>
      </c>
      <c r="I102" s="75">
        <v>2</v>
      </c>
      <c r="J102" s="72">
        <v>3550</v>
      </c>
      <c r="K102" s="72">
        <v>7100</v>
      </c>
      <c r="L102" s="81">
        <f>SUM(K102)</f>
        <v>7100</v>
      </c>
      <c r="M102" s="152"/>
      <c r="N102" s="140"/>
    </row>
    <row r="103" spans="1:14" ht="16.5" customHeight="1">
      <c r="A103" s="162" t="s">
        <v>86</v>
      </c>
      <c r="B103" s="71" t="s">
        <v>87</v>
      </c>
      <c r="C103" s="71" t="s">
        <v>45</v>
      </c>
      <c r="D103" s="71" t="s">
        <v>61</v>
      </c>
      <c r="E103" s="71" t="s">
        <v>46</v>
      </c>
      <c r="F103" s="74" t="s">
        <v>47</v>
      </c>
      <c r="G103" s="74" t="s">
        <v>96</v>
      </c>
      <c r="H103" s="74" t="s">
        <v>97</v>
      </c>
      <c r="I103" s="75">
        <v>300</v>
      </c>
      <c r="J103" s="72">
        <v>2730</v>
      </c>
      <c r="K103" s="72">
        <v>819000</v>
      </c>
      <c r="L103" s="159">
        <f>SUM(K103:K104)</f>
        <v>1037000</v>
      </c>
      <c r="M103" s="152"/>
      <c r="N103" s="140"/>
    </row>
    <row r="104" spans="1:14" ht="16.5" customHeight="1">
      <c r="A104" s="164"/>
      <c r="B104" s="71" t="s">
        <v>87</v>
      </c>
      <c r="C104" s="71" t="s">
        <v>45</v>
      </c>
      <c r="D104" s="71" t="s">
        <v>61</v>
      </c>
      <c r="E104" s="71" t="s">
        <v>46</v>
      </c>
      <c r="F104" s="74" t="s">
        <v>47</v>
      </c>
      <c r="G104" s="74" t="s">
        <v>101</v>
      </c>
      <c r="H104" s="74" t="s">
        <v>102</v>
      </c>
      <c r="I104" s="75">
        <v>100</v>
      </c>
      <c r="J104" s="72">
        <v>2180</v>
      </c>
      <c r="K104" s="72">
        <v>218000</v>
      </c>
      <c r="L104" s="166"/>
      <c r="M104" s="152"/>
      <c r="N104" s="140"/>
    </row>
    <row r="105" spans="1:14" ht="16.5" customHeight="1">
      <c r="A105" s="162" t="s">
        <v>73</v>
      </c>
      <c r="B105" s="71" t="s">
        <v>116</v>
      </c>
      <c r="C105" s="71" t="s">
        <v>107</v>
      </c>
      <c r="D105" s="71" t="s">
        <v>61</v>
      </c>
      <c r="E105" s="71" t="s">
        <v>46</v>
      </c>
      <c r="F105" s="74" t="s">
        <v>47</v>
      </c>
      <c r="G105" s="74" t="s">
        <v>119</v>
      </c>
      <c r="H105" s="74" t="s">
        <v>120</v>
      </c>
      <c r="I105" s="75">
        <v>192</v>
      </c>
      <c r="J105" s="72">
        <v>4800</v>
      </c>
      <c r="K105" s="72">
        <v>921600</v>
      </c>
      <c r="L105" s="159">
        <f>SUM(K105:K106)</f>
        <v>1806240</v>
      </c>
      <c r="M105" s="152"/>
      <c r="N105" s="140"/>
    </row>
    <row r="106" spans="1:14" ht="16.5" customHeight="1">
      <c r="A106" s="164"/>
      <c r="B106" s="71" t="s">
        <v>160</v>
      </c>
      <c r="C106" s="71" t="s">
        <v>83</v>
      </c>
      <c r="D106" s="71" t="s">
        <v>61</v>
      </c>
      <c r="E106" s="71" t="s">
        <v>46</v>
      </c>
      <c r="F106" s="74" t="s">
        <v>47</v>
      </c>
      <c r="G106" s="74" t="s">
        <v>201</v>
      </c>
      <c r="H106" s="74" t="s">
        <v>202</v>
      </c>
      <c r="I106" s="75">
        <v>456</v>
      </c>
      <c r="J106" s="72">
        <v>1940</v>
      </c>
      <c r="K106" s="72">
        <v>884640</v>
      </c>
      <c r="L106" s="166"/>
      <c r="M106" s="152"/>
      <c r="N106" s="140"/>
    </row>
    <row r="107" spans="1:14" ht="16.5" customHeight="1">
      <c r="A107" s="162" t="s">
        <v>82</v>
      </c>
      <c r="B107" s="71" t="s">
        <v>103</v>
      </c>
      <c r="C107" s="71" t="s">
        <v>93</v>
      </c>
      <c r="D107" s="71" t="s">
        <v>78</v>
      </c>
      <c r="E107" s="71" t="s">
        <v>46</v>
      </c>
      <c r="F107" s="74" t="s">
        <v>47</v>
      </c>
      <c r="G107" s="74" t="s">
        <v>94</v>
      </c>
      <c r="H107" s="74" t="s">
        <v>95</v>
      </c>
      <c r="I107" s="75">
        <v>12</v>
      </c>
      <c r="J107" s="72">
        <v>4500</v>
      </c>
      <c r="K107" s="72">
        <v>54000</v>
      </c>
      <c r="L107" s="159">
        <f>SUM(K107:K109)</f>
        <v>773700</v>
      </c>
      <c r="M107" s="152"/>
      <c r="N107" s="140"/>
    </row>
    <row r="108" spans="1:14" ht="16.5" customHeight="1">
      <c r="A108" s="163"/>
      <c r="B108" s="71" t="s">
        <v>189</v>
      </c>
      <c r="C108" s="71" t="s">
        <v>45</v>
      </c>
      <c r="D108" s="71" t="s">
        <v>61</v>
      </c>
      <c r="E108" s="71" t="s">
        <v>79</v>
      </c>
      <c r="F108" s="74" t="s">
        <v>47</v>
      </c>
      <c r="G108" s="74" t="s">
        <v>190</v>
      </c>
      <c r="H108" s="74" t="s">
        <v>191</v>
      </c>
      <c r="I108" s="75">
        <v>4</v>
      </c>
      <c r="J108" s="72">
        <v>146300</v>
      </c>
      <c r="K108" s="72">
        <v>585200</v>
      </c>
      <c r="L108" s="160"/>
      <c r="M108" s="152"/>
      <c r="N108" s="140"/>
    </row>
    <row r="109" spans="1:14" ht="16.5" customHeight="1">
      <c r="A109" s="164"/>
      <c r="B109" s="71" t="s">
        <v>203</v>
      </c>
      <c r="C109" s="71" t="s">
        <v>83</v>
      </c>
      <c r="D109" s="71" t="s">
        <v>61</v>
      </c>
      <c r="E109" s="71" t="s">
        <v>46</v>
      </c>
      <c r="F109" s="74" t="s">
        <v>34</v>
      </c>
      <c r="G109" s="74" t="s">
        <v>178</v>
      </c>
      <c r="H109" s="74" t="s">
        <v>179</v>
      </c>
      <c r="I109" s="75">
        <v>50</v>
      </c>
      <c r="J109" s="72">
        <v>2690</v>
      </c>
      <c r="K109" s="72">
        <v>134500</v>
      </c>
      <c r="L109" s="166"/>
      <c r="M109" s="152"/>
      <c r="N109" s="140"/>
    </row>
    <row r="110" spans="1:14" ht="16.5" customHeight="1">
      <c r="A110" s="162" t="s">
        <v>71</v>
      </c>
      <c r="B110" s="71" t="s">
        <v>192</v>
      </c>
      <c r="C110" s="71" t="s">
        <v>107</v>
      </c>
      <c r="D110" s="71" t="s">
        <v>61</v>
      </c>
      <c r="E110" s="71" t="s">
        <v>46</v>
      </c>
      <c r="F110" s="74" t="s">
        <v>47</v>
      </c>
      <c r="G110" s="74" t="s">
        <v>173</v>
      </c>
      <c r="H110" s="74" t="s">
        <v>174</v>
      </c>
      <c r="I110" s="75">
        <v>72</v>
      </c>
      <c r="J110" s="72">
        <v>5310</v>
      </c>
      <c r="K110" s="72">
        <v>382320</v>
      </c>
      <c r="L110" s="159">
        <f>SUM(K110:K111)</f>
        <v>899520</v>
      </c>
      <c r="M110" s="152"/>
      <c r="N110" s="140"/>
    </row>
    <row r="111" spans="1:14" ht="16.5" customHeight="1">
      <c r="A111" s="164"/>
      <c r="B111" s="71" t="s">
        <v>157</v>
      </c>
      <c r="C111" s="71" t="s">
        <v>158</v>
      </c>
      <c r="D111" s="71" t="s">
        <v>61</v>
      </c>
      <c r="E111" s="71" t="s">
        <v>46</v>
      </c>
      <c r="F111" s="74" t="s">
        <v>47</v>
      </c>
      <c r="G111" s="74" t="s">
        <v>193</v>
      </c>
      <c r="H111" s="74" t="s">
        <v>194</v>
      </c>
      <c r="I111" s="75">
        <v>120</v>
      </c>
      <c r="J111" s="72">
        <v>4310</v>
      </c>
      <c r="K111" s="72">
        <v>517200</v>
      </c>
      <c r="L111" s="166"/>
      <c r="M111" s="152"/>
      <c r="N111" s="140"/>
    </row>
    <row r="112" spans="1:14" ht="16.5" customHeight="1">
      <c r="A112" s="74" t="s">
        <v>133</v>
      </c>
      <c r="B112" s="71" t="s">
        <v>134</v>
      </c>
      <c r="C112" s="71" t="s">
        <v>135</v>
      </c>
      <c r="D112" s="71" t="s">
        <v>80</v>
      </c>
      <c r="E112" s="71" t="s">
        <v>46</v>
      </c>
      <c r="F112" s="74" t="s">
        <v>47</v>
      </c>
      <c r="G112" s="74" t="s">
        <v>141</v>
      </c>
      <c r="H112" s="74" t="s">
        <v>142</v>
      </c>
      <c r="I112" s="75">
        <v>16</v>
      </c>
      <c r="J112" s="72">
        <v>8000</v>
      </c>
      <c r="K112" s="72">
        <v>128000</v>
      </c>
      <c r="L112" s="81">
        <f>SUM(K112)</f>
        <v>128000</v>
      </c>
      <c r="M112" s="152"/>
      <c r="N112" s="140"/>
    </row>
    <row r="113" spans="1:18" ht="16.5" customHeight="1">
      <c r="A113" s="162" t="s">
        <v>74</v>
      </c>
      <c r="B113" s="71" t="s">
        <v>180</v>
      </c>
      <c r="C113" s="71" t="s">
        <v>83</v>
      </c>
      <c r="D113" s="71" t="s">
        <v>113</v>
      </c>
      <c r="E113" s="71" t="s">
        <v>81</v>
      </c>
      <c r="F113" s="74" t="s">
        <v>47</v>
      </c>
      <c r="G113" s="74" t="s">
        <v>181</v>
      </c>
      <c r="H113" s="74" t="s">
        <v>182</v>
      </c>
      <c r="I113" s="75">
        <v>230</v>
      </c>
      <c r="J113" s="72">
        <v>5660</v>
      </c>
      <c r="K113" s="72">
        <v>1301800</v>
      </c>
      <c r="L113" s="159">
        <f>SUM(K113:K118)</f>
        <v>1732640</v>
      </c>
      <c r="M113" s="152"/>
      <c r="N113" s="140"/>
    </row>
    <row r="114" spans="1:18" ht="16.5" customHeight="1">
      <c r="A114" s="163"/>
      <c r="B114" s="71" t="s">
        <v>75</v>
      </c>
      <c r="C114" s="71" t="s">
        <v>76</v>
      </c>
      <c r="D114" s="71" t="s">
        <v>61</v>
      </c>
      <c r="E114" s="71" t="s">
        <v>46</v>
      </c>
      <c r="F114" s="74" t="s">
        <v>47</v>
      </c>
      <c r="G114" s="74" t="s">
        <v>84</v>
      </c>
      <c r="H114" s="74" t="s">
        <v>85</v>
      </c>
      <c r="I114" s="75">
        <v>70</v>
      </c>
      <c r="J114" s="72">
        <v>1500</v>
      </c>
      <c r="K114" s="72">
        <v>105000</v>
      </c>
      <c r="L114" s="160"/>
      <c r="M114" s="152"/>
      <c r="N114" s="140"/>
    </row>
    <row r="115" spans="1:18" ht="16.5" customHeight="1">
      <c r="A115" s="163"/>
      <c r="B115" s="71" t="s">
        <v>75</v>
      </c>
      <c r="C115" s="71" t="s">
        <v>76</v>
      </c>
      <c r="D115" s="71" t="s">
        <v>61</v>
      </c>
      <c r="E115" s="71" t="s">
        <v>46</v>
      </c>
      <c r="F115" s="74" t="s">
        <v>47</v>
      </c>
      <c r="G115" s="74" t="s">
        <v>147</v>
      </c>
      <c r="H115" s="74" t="s">
        <v>148</v>
      </c>
      <c r="I115" s="75">
        <v>10</v>
      </c>
      <c r="J115" s="72">
        <v>1300</v>
      </c>
      <c r="K115" s="72">
        <v>13000</v>
      </c>
      <c r="L115" s="160"/>
      <c r="M115" s="152"/>
      <c r="N115" s="140"/>
    </row>
    <row r="116" spans="1:18" ht="16.5" customHeight="1">
      <c r="A116" s="163"/>
      <c r="B116" s="71" t="s">
        <v>75</v>
      </c>
      <c r="C116" s="71" t="s">
        <v>76</v>
      </c>
      <c r="D116" s="71" t="s">
        <v>61</v>
      </c>
      <c r="E116" s="71" t="s">
        <v>46</v>
      </c>
      <c r="F116" s="74" t="s">
        <v>47</v>
      </c>
      <c r="G116" s="74" t="s">
        <v>199</v>
      </c>
      <c r="H116" s="74" t="s">
        <v>200</v>
      </c>
      <c r="I116" s="75">
        <v>10</v>
      </c>
      <c r="J116" s="72">
        <v>1400</v>
      </c>
      <c r="K116" s="72">
        <v>14000</v>
      </c>
      <c r="L116" s="160"/>
      <c r="M116" s="152"/>
      <c r="N116" s="140"/>
    </row>
    <row r="117" spans="1:18" ht="16.5" customHeight="1">
      <c r="A117" s="163"/>
      <c r="B117" s="71" t="s">
        <v>75</v>
      </c>
      <c r="C117" s="71" t="s">
        <v>76</v>
      </c>
      <c r="D117" s="71" t="s">
        <v>61</v>
      </c>
      <c r="E117" s="71" t="s">
        <v>46</v>
      </c>
      <c r="F117" s="74" t="s">
        <v>47</v>
      </c>
      <c r="G117" s="74" t="s">
        <v>204</v>
      </c>
      <c r="H117" s="74" t="s">
        <v>205</v>
      </c>
      <c r="I117" s="75">
        <v>4</v>
      </c>
      <c r="J117" s="72">
        <v>3250</v>
      </c>
      <c r="K117" s="72">
        <v>13000</v>
      </c>
      <c r="L117" s="160"/>
      <c r="M117" s="152"/>
      <c r="N117" s="140"/>
    </row>
    <row r="118" spans="1:18" ht="16.5" customHeight="1">
      <c r="A118" s="164"/>
      <c r="B118" s="71" t="s">
        <v>75</v>
      </c>
      <c r="C118" s="71" t="s">
        <v>76</v>
      </c>
      <c r="D118" s="71" t="s">
        <v>61</v>
      </c>
      <c r="E118" s="71" t="s">
        <v>46</v>
      </c>
      <c r="F118" s="74" t="s">
        <v>47</v>
      </c>
      <c r="G118" s="74" t="s">
        <v>129</v>
      </c>
      <c r="H118" s="74" t="s">
        <v>130</v>
      </c>
      <c r="I118" s="75">
        <v>72</v>
      </c>
      <c r="J118" s="72">
        <v>3970</v>
      </c>
      <c r="K118" s="72">
        <v>285840</v>
      </c>
      <c r="L118" s="166"/>
      <c r="M118" s="152"/>
      <c r="N118" s="140"/>
    </row>
    <row r="119" spans="1:18" ht="16.5" hidden="1" customHeight="1">
      <c r="A119" s="82"/>
      <c r="B119" s="71"/>
      <c r="C119" s="71"/>
      <c r="D119" s="71"/>
      <c r="E119" s="71"/>
      <c r="F119" s="74"/>
      <c r="G119" s="74"/>
      <c r="H119" s="74"/>
      <c r="I119" s="75"/>
      <c r="J119" s="72"/>
      <c r="K119" s="72"/>
      <c r="L119" s="153"/>
      <c r="M119" s="152"/>
      <c r="N119" s="140"/>
    </row>
    <row r="120" spans="1:18" ht="16.5" hidden="1" customHeight="1">
      <c r="A120" s="82"/>
      <c r="B120" s="71"/>
      <c r="C120" s="71"/>
      <c r="D120" s="71"/>
      <c r="E120" s="71"/>
      <c r="F120" s="74"/>
      <c r="G120" s="74"/>
      <c r="H120" s="74"/>
      <c r="I120" s="75"/>
      <c r="J120" s="72"/>
      <c r="K120" s="72"/>
      <c r="L120" s="153"/>
      <c r="M120" s="152"/>
      <c r="N120" s="140"/>
    </row>
    <row r="121" spans="1:18" ht="16.5" hidden="1" customHeight="1">
      <c r="A121" s="82"/>
      <c r="B121" s="71"/>
      <c r="C121" s="71"/>
      <c r="D121" s="71"/>
      <c r="E121" s="71"/>
      <c r="F121" s="74"/>
      <c r="G121" s="74"/>
      <c r="H121" s="74"/>
      <c r="I121" s="75"/>
      <c r="J121" s="72"/>
      <c r="K121" s="72"/>
      <c r="L121" s="153"/>
      <c r="M121" s="152"/>
      <c r="N121" s="140"/>
    </row>
    <row r="122" spans="1:18" ht="16.5" hidden="1" customHeight="1">
      <c r="A122" s="82"/>
      <c r="B122" s="71"/>
      <c r="C122" s="71"/>
      <c r="D122" s="71"/>
      <c r="E122" s="71"/>
      <c r="F122" s="74"/>
      <c r="G122" s="74"/>
      <c r="H122" s="74"/>
      <c r="I122" s="75"/>
      <c r="J122" s="72"/>
      <c r="K122" s="72"/>
      <c r="L122" s="153"/>
      <c r="M122" s="152"/>
      <c r="N122" s="140"/>
    </row>
    <row r="123" spans="1:18" ht="16.5" hidden="1" customHeight="1">
      <c r="A123" s="82"/>
      <c r="B123" s="71"/>
      <c r="C123" s="71"/>
      <c r="D123" s="71"/>
      <c r="E123" s="71"/>
      <c r="F123" s="74"/>
      <c r="G123" s="74"/>
      <c r="H123" s="74"/>
      <c r="I123" s="75"/>
      <c r="J123" s="72"/>
      <c r="K123" s="72"/>
      <c r="L123" s="153"/>
      <c r="M123" s="152"/>
      <c r="N123" s="140"/>
    </row>
    <row r="124" spans="1:18" ht="16.5" hidden="1" customHeight="1">
      <c r="A124" s="82"/>
      <c r="B124" s="71"/>
      <c r="C124" s="71"/>
      <c r="D124" s="71"/>
      <c r="E124" s="71"/>
      <c r="F124" s="74"/>
      <c r="G124" s="74"/>
      <c r="H124" s="74"/>
      <c r="I124" s="75"/>
      <c r="J124" s="72"/>
      <c r="K124" s="72"/>
      <c r="L124" s="153"/>
      <c r="M124" s="152"/>
      <c r="N124" s="140"/>
    </row>
    <row r="125" spans="1:18" ht="16.5" hidden="1" customHeight="1">
      <c r="A125" s="82"/>
      <c r="B125" s="71"/>
      <c r="C125" s="71"/>
      <c r="D125" s="71"/>
      <c r="E125" s="71"/>
      <c r="F125" s="74"/>
      <c r="G125" s="74"/>
      <c r="H125" s="74"/>
      <c r="I125" s="75"/>
      <c r="J125" s="72"/>
      <c r="K125" s="72"/>
      <c r="L125" s="153"/>
      <c r="M125" s="152"/>
      <c r="N125" s="140"/>
    </row>
    <row r="126" spans="1:18" ht="16.5" hidden="1" customHeight="1">
      <c r="A126" s="151"/>
      <c r="B126" s="71"/>
      <c r="C126" s="71"/>
      <c r="D126" s="71"/>
      <c r="E126" s="71"/>
      <c r="F126" s="74"/>
      <c r="G126" s="74"/>
      <c r="H126" s="74"/>
      <c r="I126" s="75"/>
      <c r="J126" s="72"/>
      <c r="K126" s="72"/>
      <c r="L126" s="154"/>
      <c r="M126" s="152"/>
      <c r="N126" s="140"/>
    </row>
    <row r="127" spans="1:18" s="7" customFormat="1" ht="16.5" hidden="1" customHeight="1">
      <c r="A127" s="74"/>
      <c r="B127" s="71"/>
      <c r="C127" s="71"/>
      <c r="D127" s="71"/>
      <c r="E127" s="71"/>
      <c r="F127" s="74"/>
      <c r="G127" s="74"/>
      <c r="H127" s="74"/>
      <c r="I127" s="75"/>
      <c r="J127" s="72"/>
      <c r="K127" s="72"/>
      <c r="L127" s="81"/>
      <c r="M127" s="152"/>
      <c r="N127" s="140"/>
      <c r="P127" s="8"/>
      <c r="Q127" s="8"/>
      <c r="R127" s="8"/>
    </row>
    <row r="128" spans="1:18" s="7" customFormat="1" ht="16.5" hidden="1" customHeight="1">
      <c r="A128" s="162"/>
      <c r="B128" s="142"/>
      <c r="C128" s="71"/>
      <c r="D128" s="71"/>
      <c r="E128" s="71"/>
      <c r="F128" s="74"/>
      <c r="G128" s="74"/>
      <c r="H128" s="74"/>
      <c r="I128" s="75"/>
      <c r="J128" s="72"/>
      <c r="K128" s="72"/>
      <c r="L128" s="159"/>
      <c r="M128" s="152"/>
      <c r="N128" s="140"/>
      <c r="P128" s="8"/>
      <c r="Q128" s="8"/>
      <c r="R128" s="8"/>
    </row>
    <row r="129" spans="1:18" s="7" customFormat="1" ht="16.5" hidden="1" customHeight="1">
      <c r="A129" s="165"/>
      <c r="B129" s="142"/>
      <c r="C129" s="71"/>
      <c r="D129" s="71"/>
      <c r="E129" s="71"/>
      <c r="F129" s="74"/>
      <c r="G129" s="74"/>
      <c r="H129" s="74"/>
      <c r="I129" s="75"/>
      <c r="J129" s="72"/>
      <c r="K129" s="72"/>
      <c r="L129" s="161"/>
      <c r="M129" s="152"/>
      <c r="N129" s="140"/>
      <c r="P129" s="8"/>
      <c r="Q129" s="8"/>
      <c r="R129" s="8"/>
    </row>
    <row r="130" spans="1:18" ht="17.25" customHeight="1">
      <c r="A130" s="87" t="str">
        <f ca="1">MID(CELL("filename",$A$1),FIND("]",CELL("filename",$A$1))+1,100)&amp;" TOTAL"</f>
        <v>2025.12.1(MON) TOTAL</v>
      </c>
      <c r="B130" s="88"/>
      <c r="C130" s="88"/>
      <c r="D130" s="88"/>
      <c r="E130" s="88"/>
      <c r="F130" s="92"/>
      <c r="G130" s="92"/>
      <c r="H130" s="92"/>
      <c r="I130" s="88"/>
      <c r="J130" s="89"/>
      <c r="K130" s="44">
        <f>SUM(K85:K129)</f>
        <v>9009410</v>
      </c>
      <c r="L130" s="44">
        <f>SUM(L85:L129)</f>
        <v>9009410</v>
      </c>
      <c r="M130" s="90"/>
      <c r="N130" s="141"/>
    </row>
    <row r="131" spans="1:18" ht="12.75" customHeight="1"/>
    <row r="132" spans="1:18" s="12" customFormat="1">
      <c r="C132" s="8"/>
      <c r="D132" s="8"/>
      <c r="H132" s="132"/>
      <c r="I132" s="4"/>
      <c r="J132" s="4"/>
      <c r="K132" s="4"/>
      <c r="L132" s="4"/>
      <c r="M132" s="5"/>
      <c r="N132" s="6"/>
      <c r="O132" s="7"/>
    </row>
    <row r="136" spans="1:18" s="4" customFormat="1">
      <c r="A136" s="12"/>
      <c r="B136" s="12"/>
      <c r="C136" s="8"/>
      <c r="D136" s="8"/>
      <c r="E136" s="12"/>
      <c r="F136" s="12"/>
      <c r="G136" s="12"/>
      <c r="H136" s="24"/>
      <c r="M136" s="5"/>
      <c r="N136" s="6"/>
      <c r="O136" s="7"/>
    </row>
    <row r="137" spans="1:18" s="4" customFormat="1">
      <c r="A137" s="12"/>
      <c r="B137" s="12"/>
      <c r="C137" s="8"/>
      <c r="D137" s="8"/>
      <c r="E137" s="12"/>
      <c r="F137" s="12"/>
      <c r="G137" s="12"/>
      <c r="H137" s="132"/>
      <c r="J137" s="91"/>
      <c r="M137" s="5"/>
      <c r="N137" s="6"/>
      <c r="O137" s="7"/>
    </row>
    <row r="138" spans="1:18" s="4" customFormat="1">
      <c r="A138" s="12"/>
      <c r="B138" s="12"/>
      <c r="C138" s="8"/>
      <c r="D138" s="8"/>
      <c r="E138" s="12"/>
      <c r="F138" s="12"/>
      <c r="G138" s="12"/>
      <c r="H138" s="132"/>
      <c r="J138" s="2"/>
      <c r="M138" s="5"/>
      <c r="N138" s="6"/>
      <c r="O138" s="7"/>
    </row>
    <row r="139" spans="1:18">
      <c r="J139" s="3"/>
    </row>
    <row r="140" spans="1:18" s="4" customFormat="1">
      <c r="A140" s="12"/>
      <c r="B140" s="12"/>
      <c r="C140" s="8"/>
      <c r="D140" s="8"/>
      <c r="E140" s="12"/>
      <c r="F140" s="12"/>
      <c r="G140" s="12"/>
      <c r="H140" s="132"/>
      <c r="J140" s="3"/>
      <c r="M140" s="5"/>
      <c r="N140" s="6"/>
      <c r="O140" s="7"/>
    </row>
    <row r="141" spans="1:18" s="4" customFormat="1">
      <c r="A141" s="12"/>
      <c r="B141" s="12"/>
      <c r="C141" s="8"/>
      <c r="D141" s="8"/>
      <c r="E141" s="12"/>
      <c r="F141" s="12"/>
      <c r="G141" s="12"/>
      <c r="H141" s="132"/>
      <c r="J141" s="3"/>
      <c r="M141" s="5"/>
      <c r="N141" s="6"/>
      <c r="O141" s="7"/>
    </row>
    <row r="142" spans="1:18" s="4" customFormat="1">
      <c r="A142" s="12"/>
      <c r="B142" s="12"/>
      <c r="C142" s="8"/>
      <c r="D142" s="8"/>
      <c r="E142" s="12"/>
      <c r="F142" s="12"/>
      <c r="G142" s="12"/>
      <c r="H142" s="132"/>
      <c r="J142" s="3"/>
      <c r="M142" s="5"/>
      <c r="N142" s="6"/>
      <c r="O142" s="7"/>
    </row>
  </sheetData>
  <mergeCells count="49">
    <mergeCell ref="L113:L118"/>
    <mergeCell ref="A56:A57"/>
    <mergeCell ref="N37:N40"/>
    <mergeCell ref="N41:N42"/>
    <mergeCell ref="N44:N45"/>
    <mergeCell ref="N47:N48"/>
    <mergeCell ref="N49:N54"/>
    <mergeCell ref="N56:N57"/>
    <mergeCell ref="A47:A48"/>
    <mergeCell ref="A49:A54"/>
    <mergeCell ref="A64:A65"/>
    <mergeCell ref="B64:B65"/>
    <mergeCell ref="L64:L65"/>
    <mergeCell ref="A85:A88"/>
    <mergeCell ref="A110:A111"/>
    <mergeCell ref="L107:L109"/>
    <mergeCell ref="A1:F1"/>
    <mergeCell ref="A2:E2"/>
    <mergeCell ref="A7:F7"/>
    <mergeCell ref="A8:C8"/>
    <mergeCell ref="D8:F8"/>
    <mergeCell ref="A9:B9"/>
    <mergeCell ref="D9:E9"/>
    <mergeCell ref="A10:B10"/>
    <mergeCell ref="D10:E10"/>
    <mergeCell ref="C15:C17"/>
    <mergeCell ref="D15:D17"/>
    <mergeCell ref="A105:A106"/>
    <mergeCell ref="C23:C25"/>
    <mergeCell ref="A35:N35"/>
    <mergeCell ref="A37:A40"/>
    <mergeCell ref="A41:A42"/>
    <mergeCell ref="A44:A45"/>
    <mergeCell ref="A107:A109"/>
    <mergeCell ref="L110:L111"/>
    <mergeCell ref="A128:A129"/>
    <mergeCell ref="L128:L129"/>
    <mergeCell ref="A66:J66"/>
    <mergeCell ref="L69:L72"/>
    <mergeCell ref="A73:J73"/>
    <mergeCell ref="A83:N83"/>
    <mergeCell ref="M84:N84"/>
    <mergeCell ref="A113:A118"/>
    <mergeCell ref="L85:L88"/>
    <mergeCell ref="L90:L101"/>
    <mergeCell ref="L103:L104"/>
    <mergeCell ref="L105:L106"/>
    <mergeCell ref="A90:A101"/>
    <mergeCell ref="A103:A104"/>
  </mergeCells>
  <phoneticPr fontId="8" type="noConversion"/>
  <conditionalFormatting sqref="D19:D28 F34:F1048576">
    <cfRule type="containsText" dxfId="11" priority="19" operator="containsText" text="NO LOGO">
      <formula>NOT(ISERROR(SEARCH("NO LOGO",D19)))</formula>
    </cfRule>
    <cfRule type="containsText" dxfId="10" priority="20" operator="containsText" text="BLUE">
      <formula>NOT(ISERROR(SEARCH("BLUE",D19)))</formula>
    </cfRule>
    <cfRule type="containsText" dxfId="9" priority="21" operator="containsText" text="RED">
      <formula>NOT(ISERROR(SEARCH("RED",D19)))</formula>
    </cfRule>
  </conditionalFormatting>
  <conditionalFormatting sqref="E13:E18 E29:E33">
    <cfRule type="containsText" dxfId="8" priority="25" operator="containsText" text="NO LOGO">
      <formula>NOT(ISERROR(SEARCH("NO LOGO",E13)))</formula>
    </cfRule>
    <cfRule type="containsText" dxfId="7" priority="26" operator="containsText" text="BLUE">
      <formula>NOT(ISERROR(SEARCH("BLUE",E13)))</formula>
    </cfRule>
    <cfRule type="containsText" dxfId="6" priority="27" operator="containsText" text="RED">
      <formula>NOT(ISERROR(SEARCH("RED",E13)))</formula>
    </cfRule>
  </conditionalFormatting>
  <conditionalFormatting sqref="F1:F8">
    <cfRule type="containsText" dxfId="5" priority="1" operator="containsText" text="NO LOGO">
      <formula>NOT(ISERROR(SEARCH("NO LOGO",F1)))</formula>
    </cfRule>
    <cfRule type="containsText" dxfId="4" priority="2" operator="containsText" text="BLUE">
      <formula>NOT(ISERROR(SEARCH("BLUE",F1)))</formula>
    </cfRule>
    <cfRule type="containsText" dxfId="3" priority="3" operator="containsText" text="RED">
      <formula>NOT(ISERROR(SEARCH("RED",F1)))</formula>
    </cfRule>
  </conditionalFormatting>
  <conditionalFormatting sqref="F12">
    <cfRule type="containsText" dxfId="2" priority="22" operator="containsText" text="NO LOGO">
      <formula>NOT(ISERROR(SEARCH("NO LOGO",F12)))</formula>
    </cfRule>
    <cfRule type="containsText" dxfId="1" priority="23" operator="containsText" text="BLUE">
      <formula>NOT(ISERROR(SEARCH("BLUE",F12)))</formula>
    </cfRule>
    <cfRule type="containsText" dxfId="0" priority="24" operator="containsText" text="RED">
      <formula>NOT(ISERROR(SEARCH("RED",F12)))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2025.12.3(WED)</vt:lpstr>
      <vt:lpstr>2025.12.2(TUE)</vt:lpstr>
      <vt:lpstr>2025.12.1(MON)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컨범 회의용</dc:creator>
  <cp:lastModifiedBy>YUN HOESHEUNG /CONVUM KOREA</cp:lastModifiedBy>
  <cp:lastPrinted>2025-04-17T03:27:26Z</cp:lastPrinted>
  <dcterms:created xsi:type="dcterms:W3CDTF">2025-01-02T02:31:54Z</dcterms:created>
  <dcterms:modified xsi:type="dcterms:W3CDTF">2025-12-03T07:54:14Z</dcterms:modified>
</cp:coreProperties>
</file>